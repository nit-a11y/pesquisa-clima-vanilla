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BF3CD11D-4AE6-45BE-BA2F-C550EA7EAC12}" xr6:coauthVersionLast="47" xr6:coauthVersionMax="47" xr10:uidLastSave="{00000000-0000-0000-0000-000000000000}"/>
  <bookViews>
    <workbookView xWindow="-108" yWindow="-108" windowWidth="23256" windowHeight="12456" activeTab="3" xr2:uid="{00000000-000D-0000-FFFF-FFFF00000000}"/>
  </bookViews>
  <sheets>
    <sheet name="Base de Dados FORMS" sheetId="1" r:id="rId1"/>
    <sheet name="BD Quanti " sheetId="2" r:id="rId2"/>
    <sheet name="Ranking" sheetId="7" r:id="rId3"/>
    <sheet name="Pilares" sheetId="5" r:id="rId4"/>
    <sheet name="REVISÃO PERGUNTAS" sheetId="8" r:id="rId5"/>
  </sheets>
  <definedNames>
    <definedName name="_xlnm._FilterDatabase" localSheetId="0" hidden="1">'Base de Dados FORMS'!$A$1:$DH$1</definedName>
    <definedName name="_xlnm._FilterDatabase" localSheetId="1" hidden="1">'BD Quanti '!$B$2:$L$53</definedName>
    <definedName name="_xlnm._FilterDatabase" localSheetId="2" hidden="1">Ranking!$B$2:$L$53</definedName>
    <definedName name="_xlnm._FilterDatabase" localSheetId="4" hidden="1">'REVISÃO PERGUNTAS'!$A$2:$L$2</definedName>
  </definedNames>
  <calcPr calcId="191029"/>
</workbook>
</file>

<file path=xl/calcChain.xml><?xml version="1.0" encoding="utf-8"?>
<calcChain xmlns="http://schemas.openxmlformats.org/spreadsheetml/2006/main">
  <c r="B20" i="8" l="1"/>
  <c r="B31" i="8"/>
  <c r="B30" i="8"/>
  <c r="B29" i="8"/>
  <c r="B28" i="8"/>
  <c r="B27" i="8"/>
  <c r="B13" i="8"/>
  <c r="B52" i="8"/>
  <c r="B26" i="8"/>
  <c r="B51" i="8"/>
  <c r="B50" i="8"/>
  <c r="B25" i="8"/>
  <c r="B23" i="8"/>
  <c r="B48" i="8"/>
  <c r="B47" i="8"/>
  <c r="B46" i="8"/>
  <c r="B45" i="8"/>
  <c r="B44" i="8"/>
  <c r="B42" i="8"/>
  <c r="B41" i="8"/>
  <c r="B12" i="8"/>
  <c r="B40" i="8"/>
  <c r="B39" i="8"/>
  <c r="B38" i="8"/>
  <c r="B37" i="8"/>
  <c r="B36" i="8"/>
  <c r="B35" i="8"/>
  <c r="B34" i="8"/>
  <c r="B33" i="8"/>
  <c r="B32" i="8"/>
  <c r="B22" i="8"/>
  <c r="B21" i="8"/>
  <c r="B11" i="8"/>
  <c r="B9" i="8"/>
  <c r="B8" i="8"/>
  <c r="B19" i="8"/>
  <c r="B7" i="8"/>
  <c r="B18" i="8"/>
  <c r="B17" i="8"/>
  <c r="B16" i="8"/>
  <c r="B15" i="8"/>
  <c r="B49" i="8"/>
  <c r="B6" i="8"/>
  <c r="B5" i="8"/>
  <c r="B3" i="8"/>
  <c r="C11" i="2"/>
  <c r="F3" i="2"/>
  <c r="G4" i="7" l="1"/>
  <c r="F4" i="7"/>
  <c r="E4" i="7"/>
  <c r="D4" i="7"/>
  <c r="C4" i="7"/>
  <c r="G12" i="7"/>
  <c r="F12" i="7"/>
  <c r="E12" i="7"/>
  <c r="D12" i="7"/>
  <c r="C12" i="7"/>
  <c r="G3" i="7"/>
  <c r="F3" i="7"/>
  <c r="E3" i="7"/>
  <c r="D3" i="7"/>
  <c r="C3" i="7"/>
  <c r="G50" i="7"/>
  <c r="F50" i="7"/>
  <c r="E50" i="7"/>
  <c r="D50" i="7"/>
  <c r="C50" i="7"/>
  <c r="G53" i="7"/>
  <c r="F53" i="7"/>
  <c r="E53" i="7"/>
  <c r="D53" i="7"/>
  <c r="C53" i="7"/>
  <c r="G8" i="7"/>
  <c r="F8" i="7"/>
  <c r="E8" i="7"/>
  <c r="D8" i="7"/>
  <c r="C8" i="7"/>
  <c r="G16" i="7"/>
  <c r="F16" i="7"/>
  <c r="E16" i="7"/>
  <c r="D16" i="7"/>
  <c r="C16" i="7"/>
  <c r="G5" i="7"/>
  <c r="F5" i="7"/>
  <c r="E5" i="7"/>
  <c r="D5" i="7"/>
  <c r="C5" i="7"/>
  <c r="G7" i="7"/>
  <c r="F7" i="7"/>
  <c r="E7" i="7"/>
  <c r="D7" i="7"/>
  <c r="C7" i="7"/>
  <c r="G31" i="7"/>
  <c r="F31" i="7"/>
  <c r="E31" i="7"/>
  <c r="D31" i="7"/>
  <c r="C31" i="7"/>
  <c r="G51" i="7"/>
  <c r="F51" i="7"/>
  <c r="E51" i="7"/>
  <c r="D51" i="7"/>
  <c r="C51" i="7"/>
  <c r="G23" i="7"/>
  <c r="F23" i="7"/>
  <c r="E23" i="7"/>
  <c r="D23" i="7"/>
  <c r="C23" i="7"/>
  <c r="G22" i="7"/>
  <c r="F22" i="7"/>
  <c r="E22" i="7"/>
  <c r="D22" i="7"/>
  <c r="C22" i="7"/>
  <c r="G43" i="7"/>
  <c r="F43" i="7"/>
  <c r="E43" i="7"/>
  <c r="D43" i="7"/>
  <c r="C43" i="7"/>
  <c r="G45" i="7"/>
  <c r="F45" i="7"/>
  <c r="E45" i="7"/>
  <c r="D45" i="7"/>
  <c r="C45" i="7"/>
  <c r="G21" i="7"/>
  <c r="F21" i="7"/>
  <c r="E21" i="7"/>
  <c r="D21" i="7"/>
  <c r="C21" i="7"/>
  <c r="G46" i="7"/>
  <c r="F46" i="7"/>
  <c r="E46" i="7"/>
  <c r="D46" i="7"/>
  <c r="C46" i="7"/>
  <c r="G42" i="7"/>
  <c r="F42" i="7"/>
  <c r="E42" i="7"/>
  <c r="D42" i="7"/>
  <c r="C42" i="7"/>
  <c r="G35" i="7"/>
  <c r="F35" i="7"/>
  <c r="E35" i="7"/>
  <c r="D35" i="7"/>
  <c r="C35" i="7"/>
  <c r="G34" i="7"/>
  <c r="F34" i="7"/>
  <c r="E34" i="7"/>
  <c r="D34" i="7"/>
  <c r="C34" i="7"/>
  <c r="G48" i="7"/>
  <c r="F48" i="7"/>
  <c r="E48" i="7"/>
  <c r="D48" i="7"/>
  <c r="C48" i="7"/>
  <c r="G47" i="7"/>
  <c r="F47" i="7"/>
  <c r="E47" i="7"/>
  <c r="D47" i="7"/>
  <c r="C47" i="7"/>
  <c r="G40" i="7"/>
  <c r="F40" i="7"/>
  <c r="E40" i="7"/>
  <c r="D40" i="7"/>
  <c r="C40" i="7"/>
  <c r="G33" i="7"/>
  <c r="F33" i="7"/>
  <c r="E33" i="7"/>
  <c r="D33" i="7"/>
  <c r="C33" i="7"/>
  <c r="G37" i="7"/>
  <c r="F37" i="7"/>
  <c r="E37" i="7"/>
  <c r="D37" i="7"/>
  <c r="C37" i="7"/>
  <c r="G36" i="7"/>
  <c r="F36" i="7"/>
  <c r="E36" i="7"/>
  <c r="D36" i="7"/>
  <c r="C36" i="7"/>
  <c r="G39" i="7"/>
  <c r="F39" i="7"/>
  <c r="E39" i="7"/>
  <c r="D39" i="7"/>
  <c r="C39" i="7"/>
  <c r="G29" i="7"/>
  <c r="F29" i="7"/>
  <c r="E29" i="7"/>
  <c r="D29" i="7"/>
  <c r="C29" i="7"/>
  <c r="G15" i="7"/>
  <c r="F15" i="7"/>
  <c r="E15" i="7"/>
  <c r="D15" i="7"/>
  <c r="C15" i="7"/>
  <c r="G38" i="7"/>
  <c r="F38" i="7"/>
  <c r="E38" i="7"/>
  <c r="D38" i="7"/>
  <c r="C38" i="7"/>
  <c r="G26" i="7"/>
  <c r="F26" i="7"/>
  <c r="E26" i="7"/>
  <c r="D26" i="7"/>
  <c r="C26" i="7"/>
  <c r="G20" i="7"/>
  <c r="F20" i="7"/>
  <c r="E20" i="7"/>
  <c r="D20" i="7"/>
  <c r="C20" i="7"/>
  <c r="G19" i="7"/>
  <c r="F19" i="7"/>
  <c r="E19" i="7"/>
  <c r="D19" i="7"/>
  <c r="C19" i="7"/>
  <c r="G18" i="7"/>
  <c r="F18" i="7"/>
  <c r="E18" i="7"/>
  <c r="D18" i="7"/>
  <c r="C18" i="7"/>
  <c r="G41" i="7"/>
  <c r="F41" i="7"/>
  <c r="E41" i="7"/>
  <c r="D41" i="7"/>
  <c r="C41" i="7"/>
  <c r="G17" i="7"/>
  <c r="F17" i="7"/>
  <c r="E17" i="7"/>
  <c r="D17" i="7"/>
  <c r="C17" i="7"/>
  <c r="G52" i="7"/>
  <c r="F52" i="7"/>
  <c r="E52" i="7"/>
  <c r="D52" i="7"/>
  <c r="C52" i="7"/>
  <c r="G10" i="7"/>
  <c r="F10" i="7"/>
  <c r="E10" i="7"/>
  <c r="D10" i="7"/>
  <c r="C10" i="7"/>
  <c r="G14" i="7"/>
  <c r="F14" i="7"/>
  <c r="E14" i="7"/>
  <c r="D14" i="7"/>
  <c r="C14" i="7"/>
  <c r="G27" i="7"/>
  <c r="F27" i="7"/>
  <c r="E27" i="7"/>
  <c r="D27" i="7"/>
  <c r="C27" i="7"/>
  <c r="G28" i="7"/>
  <c r="F28" i="7"/>
  <c r="E28" i="7"/>
  <c r="D28" i="7"/>
  <c r="C28" i="7"/>
  <c r="G6" i="7"/>
  <c r="F6" i="7"/>
  <c r="E6" i="7"/>
  <c r="D6" i="7"/>
  <c r="C6" i="7"/>
  <c r="G44" i="7"/>
  <c r="F44" i="7"/>
  <c r="E44" i="7"/>
  <c r="D44" i="7"/>
  <c r="C44" i="7"/>
  <c r="G9" i="7"/>
  <c r="F9" i="7"/>
  <c r="E9" i="7"/>
  <c r="D9" i="7"/>
  <c r="C9" i="7"/>
  <c r="G13" i="7"/>
  <c r="F13" i="7"/>
  <c r="E13" i="7"/>
  <c r="D13" i="7"/>
  <c r="C13" i="7"/>
  <c r="G49" i="7"/>
  <c r="F49" i="7"/>
  <c r="E49" i="7"/>
  <c r="D49" i="7"/>
  <c r="C49" i="7"/>
  <c r="G24" i="7"/>
  <c r="F24" i="7"/>
  <c r="E24" i="7"/>
  <c r="D24" i="7"/>
  <c r="C24" i="7"/>
  <c r="G30" i="7"/>
  <c r="F30" i="7"/>
  <c r="E30" i="7"/>
  <c r="D30" i="7"/>
  <c r="C30" i="7"/>
  <c r="G11" i="7"/>
  <c r="F11" i="7"/>
  <c r="E11" i="7"/>
  <c r="D11" i="7"/>
  <c r="C11" i="7"/>
  <c r="G25" i="7"/>
  <c r="F25" i="7"/>
  <c r="E25" i="7"/>
  <c r="D25" i="7"/>
  <c r="C25" i="7"/>
  <c r="H30" i="7" l="1"/>
  <c r="H27" i="7"/>
  <c r="H36" i="7"/>
  <c r="H34" i="7"/>
  <c r="I43" i="7"/>
  <c r="H23" i="7"/>
  <c r="I27" i="7"/>
  <c r="H10" i="7"/>
  <c r="H20" i="7"/>
  <c r="H33" i="7"/>
  <c r="H21" i="7"/>
  <c r="H37" i="7"/>
  <c r="H46" i="7"/>
  <c r="H7" i="7"/>
  <c r="H13" i="7"/>
  <c r="I14" i="7"/>
  <c r="I26" i="7"/>
  <c r="H5" i="7"/>
  <c r="I20" i="7"/>
  <c r="H38" i="7"/>
  <c r="I33" i="7"/>
  <c r="H47" i="7"/>
  <c r="I21" i="7"/>
  <c r="H43" i="7"/>
  <c r="I5" i="7"/>
  <c r="H8" i="7"/>
  <c r="H6" i="7"/>
  <c r="I31" i="7"/>
  <c r="I44" i="7"/>
  <c r="I41" i="7"/>
  <c r="I39" i="7"/>
  <c r="I11" i="7"/>
  <c r="H24" i="7"/>
  <c r="I10" i="7"/>
  <c r="I19" i="7"/>
  <c r="H26" i="7"/>
  <c r="I25" i="7"/>
  <c r="I18" i="7"/>
  <c r="I40" i="7"/>
  <c r="I45" i="7"/>
  <c r="I16" i="7"/>
  <c r="I30" i="7"/>
  <c r="H49" i="7"/>
  <c r="I42" i="7"/>
  <c r="I24" i="7"/>
  <c r="H11" i="7"/>
  <c r="H9" i="7"/>
  <c r="H28" i="7"/>
  <c r="H17" i="7"/>
  <c r="H19" i="7"/>
  <c r="I38" i="7"/>
  <c r="H29" i="7"/>
  <c r="I35" i="7"/>
  <c r="I51" i="7"/>
  <c r="I3" i="7"/>
  <c r="H25" i="7"/>
  <c r="I9" i="7"/>
  <c r="I17" i="7"/>
  <c r="H18" i="7"/>
  <c r="I29" i="7"/>
  <c r="I46" i="7"/>
  <c r="J46" i="7" s="1"/>
  <c r="H45" i="7"/>
  <c r="I7" i="7"/>
  <c r="H16" i="7"/>
  <c r="I4" i="7"/>
  <c r="I34" i="7"/>
  <c r="H42" i="7"/>
  <c r="I23" i="7"/>
  <c r="H31" i="7"/>
  <c r="I50" i="7"/>
  <c r="H12" i="7"/>
  <c r="I52" i="7"/>
  <c r="H41" i="7"/>
  <c r="I48" i="7"/>
  <c r="H35" i="7"/>
  <c r="I53" i="7"/>
  <c r="H3" i="7"/>
  <c r="I12" i="7"/>
  <c r="I28" i="7"/>
  <c r="H14" i="7"/>
  <c r="L14" i="7" s="1"/>
  <c r="I37" i="7"/>
  <c r="H40" i="7"/>
  <c r="I47" i="7"/>
  <c r="H15" i="7"/>
  <c r="H22" i="7"/>
  <c r="I8" i="7"/>
  <c r="H50" i="7"/>
  <c r="I13" i="7"/>
  <c r="H44" i="7"/>
  <c r="I6" i="7"/>
  <c r="I15" i="7"/>
  <c r="H39" i="7"/>
  <c r="I36" i="7"/>
  <c r="I22" i="7"/>
  <c r="H51" i="7"/>
  <c r="H4" i="7"/>
  <c r="I49" i="7"/>
  <c r="H52" i="7"/>
  <c r="H48" i="7"/>
  <c r="H53" i="7"/>
  <c r="F20" i="2"/>
  <c r="E20" i="2"/>
  <c r="D20" i="2"/>
  <c r="D21" i="2"/>
  <c r="E19" i="2"/>
  <c r="E21" i="2"/>
  <c r="E22" i="2"/>
  <c r="E23" i="2"/>
  <c r="E24" i="2"/>
  <c r="D4" i="2"/>
  <c r="D3" i="2"/>
  <c r="K3" i="7" l="1"/>
  <c r="K13" i="7"/>
  <c r="K39" i="7"/>
  <c r="L27" i="7"/>
  <c r="J44" i="7"/>
  <c r="J7" i="7"/>
  <c r="K43" i="7"/>
  <c r="L23" i="7"/>
  <c r="L52" i="7"/>
  <c r="J43" i="7"/>
  <c r="J27" i="7"/>
  <c r="J21" i="7"/>
  <c r="K27" i="7"/>
  <c r="K22" i="7"/>
  <c r="L36" i="7"/>
  <c r="L29" i="7"/>
  <c r="L49" i="7"/>
  <c r="L5" i="7"/>
  <c r="K4" i="7"/>
  <c r="L43" i="7"/>
  <c r="L47" i="7"/>
  <c r="L15" i="7"/>
  <c r="K36" i="7"/>
  <c r="L40" i="7"/>
  <c r="L34" i="7"/>
  <c r="K30" i="7"/>
  <c r="L10" i="7"/>
  <c r="J33" i="7"/>
  <c r="K5" i="7"/>
  <c r="J16" i="7"/>
  <c r="J10" i="7"/>
  <c r="L8" i="7"/>
  <c r="L21" i="7"/>
  <c r="L13" i="7"/>
  <c r="J14" i="7"/>
  <c r="J34" i="7"/>
  <c r="J30" i="7"/>
  <c r="K10" i="7"/>
  <c r="L26" i="7"/>
  <c r="L39" i="7"/>
  <c r="K33" i="7"/>
  <c r="J42" i="7"/>
  <c r="L38" i="7"/>
  <c r="L19" i="7"/>
  <c r="L20" i="7"/>
  <c r="K21" i="7"/>
  <c r="K20" i="7"/>
  <c r="L28" i="7"/>
  <c r="J47" i="7"/>
  <c r="L33" i="7"/>
  <c r="J20" i="7"/>
  <c r="J52" i="7"/>
  <c r="K19" i="7"/>
  <c r="J29" i="7"/>
  <c r="L42" i="7"/>
  <c r="K38" i="7"/>
  <c r="J17" i="7"/>
  <c r="L16" i="7"/>
  <c r="J5" i="7"/>
  <c r="K29" i="7"/>
  <c r="J38" i="7"/>
  <c r="J19" i="7"/>
  <c r="K37" i="7"/>
  <c r="J4" i="7"/>
  <c r="K16" i="7"/>
  <c r="J26" i="7"/>
  <c r="K47" i="7"/>
  <c r="J13" i="7"/>
  <c r="K26" i="7"/>
  <c r="L50" i="7"/>
  <c r="K45" i="7"/>
  <c r="K51" i="7"/>
  <c r="J11" i="7"/>
  <c r="L18" i="7"/>
  <c r="L41" i="7"/>
  <c r="J39" i="7"/>
  <c r="L6" i="7"/>
  <c r="J31" i="7"/>
  <c r="K35" i="7"/>
  <c r="J24" i="7"/>
  <c r="J25" i="7"/>
  <c r="J50" i="7"/>
  <c r="J35" i="7"/>
  <c r="J48" i="7"/>
  <c r="L17" i="7"/>
  <c r="K41" i="7"/>
  <c r="L45" i="7"/>
  <c r="K52" i="7"/>
  <c r="J45" i="7"/>
  <c r="K18" i="7"/>
  <c r="L46" i="7"/>
  <c r="K12" i="7"/>
  <c r="L3" i="7"/>
  <c r="J9" i="7"/>
  <c r="K46" i="7"/>
  <c r="L44" i="7"/>
  <c r="K53" i="7"/>
  <c r="K34" i="7"/>
  <c r="K23" i="7"/>
  <c r="L4" i="7"/>
  <c r="L7" i="7"/>
  <c r="J37" i="7"/>
  <c r="L11" i="7"/>
  <c r="J36" i="7"/>
  <c r="K14" i="7"/>
  <c r="K24" i="7"/>
  <c r="K15" i="7"/>
  <c r="J51" i="7"/>
  <c r="K44" i="7"/>
  <c r="K17" i="7"/>
  <c r="K42" i="7"/>
  <c r="L24" i="7"/>
  <c r="J23" i="7"/>
  <c r="K48" i="7"/>
  <c r="K50" i="7"/>
  <c r="K8" i="7"/>
  <c r="J18" i="7"/>
  <c r="J40" i="7"/>
  <c r="J53" i="7"/>
  <c r="J8" i="7"/>
  <c r="L35" i="7"/>
  <c r="K11" i="7"/>
  <c r="K40" i="7"/>
  <c r="K9" i="7"/>
  <c r="K7" i="7"/>
  <c r="J3" i="7"/>
  <c r="K31" i="7"/>
  <c r="L30" i="7"/>
  <c r="L25" i="7"/>
  <c r="J22" i="7"/>
  <c r="L53" i="7"/>
  <c r="J12" i="7"/>
  <c r="L51" i="7"/>
  <c r="K25" i="7"/>
  <c r="L9" i="7"/>
  <c r="L31" i="7"/>
  <c r="L37" i="7"/>
  <c r="L12" i="7"/>
  <c r="J6" i="7"/>
  <c r="L22" i="7"/>
  <c r="J28" i="7"/>
  <c r="J15" i="7"/>
  <c r="L48" i="7"/>
  <c r="K28" i="7"/>
  <c r="J41" i="7"/>
  <c r="J49" i="7"/>
  <c r="K49" i="7"/>
  <c r="K6" i="7"/>
  <c r="H20" i="2"/>
  <c r="G40" i="2" l="1"/>
  <c r="G43" i="2"/>
  <c r="G48" i="2"/>
  <c r="G51" i="2"/>
  <c r="G36" i="2"/>
  <c r="G38" i="2"/>
  <c r="G19" i="2"/>
  <c r="G20" i="2"/>
  <c r="G24" i="2"/>
  <c r="G25" i="2"/>
  <c r="C43" i="2"/>
  <c r="C33" i="2"/>
  <c r="C25" i="2"/>
  <c r="C28" i="2"/>
  <c r="G17" i="2"/>
  <c r="G10" i="2"/>
  <c r="G11" i="2"/>
  <c r="G14" i="2"/>
  <c r="G8" i="2"/>
  <c r="G5" i="2"/>
  <c r="G46" i="2"/>
  <c r="F43" i="2"/>
  <c r="E36" i="2"/>
  <c r="D48" i="2"/>
  <c r="C52" i="2"/>
  <c r="C51" i="2"/>
  <c r="C50" i="2"/>
  <c r="C49" i="2"/>
  <c r="C48" i="2"/>
  <c r="C47" i="2"/>
  <c r="C46" i="2"/>
  <c r="C45" i="2"/>
  <c r="C44" i="2"/>
  <c r="C42" i="2"/>
  <c r="C41" i="2"/>
  <c r="C40" i="2"/>
  <c r="C39" i="2"/>
  <c r="C38" i="2"/>
  <c r="C37" i="2"/>
  <c r="C36" i="2"/>
  <c r="C35" i="2"/>
  <c r="C34" i="2"/>
  <c r="C32" i="2"/>
  <c r="C31" i="2"/>
  <c r="C30" i="2"/>
  <c r="C29" i="2"/>
  <c r="C27" i="2"/>
  <c r="C26" i="2"/>
  <c r="C24" i="2"/>
  <c r="C23" i="2"/>
  <c r="C22" i="2"/>
  <c r="C21" i="2"/>
  <c r="C20" i="2"/>
  <c r="C19" i="2"/>
  <c r="C18" i="2"/>
  <c r="C17" i="2"/>
  <c r="C16" i="2"/>
  <c r="C15" i="2"/>
  <c r="C14" i="2"/>
  <c r="C13" i="2"/>
  <c r="C12" i="2"/>
  <c r="C10" i="2"/>
  <c r="C9" i="2"/>
  <c r="C8" i="2"/>
  <c r="C7" i="2"/>
  <c r="C6" i="2"/>
  <c r="C5" i="2"/>
  <c r="C4" i="2"/>
  <c r="C3" i="2"/>
  <c r="D36" i="2" l="1"/>
  <c r="H36" i="2" s="1"/>
  <c r="D11" i="2"/>
  <c r="D46" i="2"/>
  <c r="G6" i="2"/>
  <c r="G13" i="2"/>
  <c r="D23" i="2"/>
  <c r="H23" i="2" s="1"/>
  <c r="G27" i="2"/>
  <c r="D32" i="2"/>
  <c r="G30" i="2"/>
  <c r="D50" i="2"/>
  <c r="D37" i="2"/>
  <c r="I20" i="2"/>
  <c r="J20" i="2" s="1"/>
  <c r="D42" i="2"/>
  <c r="D26" i="2"/>
  <c r="D33" i="2"/>
  <c r="D39" i="2"/>
  <c r="D51" i="2"/>
  <c r="D17" i="2"/>
  <c r="D43" i="2"/>
  <c r="D27" i="2"/>
  <c r="D12" i="2"/>
  <c r="D18" i="2"/>
  <c r="I43" i="2"/>
  <c r="D14" i="2"/>
  <c r="D25" i="2"/>
  <c r="D15" i="2"/>
  <c r="G16" i="2"/>
  <c r="D29" i="2"/>
  <c r="G35" i="2"/>
  <c r="D47" i="2"/>
  <c r="D41" i="2"/>
  <c r="D22" i="2"/>
  <c r="D31" i="2"/>
  <c r="F33" i="2"/>
  <c r="D49" i="2"/>
  <c r="E33" i="2"/>
  <c r="E12" i="2"/>
  <c r="H12" i="2" s="1"/>
  <c r="E49" i="2"/>
  <c r="F38" i="2"/>
  <c r="I38" i="2" s="1"/>
  <c r="E46" i="2"/>
  <c r="E3" i="2"/>
  <c r="F7" i="2"/>
  <c r="F9" i="2"/>
  <c r="F30" i="2"/>
  <c r="E11" i="2"/>
  <c r="F5" i="2"/>
  <c r="I5" i="2" s="1"/>
  <c r="F16" i="2"/>
  <c r="F23" i="2"/>
  <c r="F4" i="2"/>
  <c r="E7" i="2"/>
  <c r="F14" i="2"/>
  <c r="I14" i="2" s="1"/>
  <c r="E9" i="2"/>
  <c r="F22" i="2"/>
  <c r="E41" i="2"/>
  <c r="E44" i="2"/>
  <c r="E52" i="2"/>
  <c r="E31" i="2"/>
  <c r="E17" i="2"/>
  <c r="E14" i="2"/>
  <c r="E6" i="2"/>
  <c r="E39" i="2"/>
  <c r="E47" i="2"/>
  <c r="E42" i="2"/>
  <c r="E50" i="2"/>
  <c r="E29" i="2"/>
  <c r="E37" i="2"/>
  <c r="E45" i="2"/>
  <c r="E32" i="2"/>
  <c r="E18" i="2"/>
  <c r="E15" i="2"/>
  <c r="E51" i="2"/>
  <c r="E27" i="2"/>
  <c r="E16" i="2"/>
  <c r="E13" i="2"/>
  <c r="E8" i="2"/>
  <c r="E40" i="2"/>
  <c r="E48" i="2"/>
  <c r="H48" i="2" s="1"/>
  <c r="E35" i="2"/>
  <c r="E10" i="2"/>
  <c r="E43" i="2"/>
  <c r="E5" i="2"/>
  <c r="E30" i="2"/>
  <c r="E38" i="2"/>
  <c r="F41" i="2"/>
  <c r="F49" i="2"/>
  <c r="F36" i="2"/>
  <c r="I36" i="2" s="1"/>
  <c r="F25" i="2"/>
  <c r="I25" i="2" s="1"/>
  <c r="F11" i="2"/>
  <c r="I11" i="2" s="1"/>
  <c r="F44" i="2"/>
  <c r="F52" i="2"/>
  <c r="F39" i="2"/>
  <c r="F47" i="2"/>
  <c r="F34" i="2"/>
  <c r="F42" i="2"/>
  <c r="F50" i="2"/>
  <c r="F29" i="2"/>
  <c r="F37" i="2"/>
  <c r="F28" i="2"/>
  <c r="F26" i="2"/>
  <c r="F12" i="2"/>
  <c r="F40" i="2"/>
  <c r="I40" i="2" s="1"/>
  <c r="F10" i="2"/>
  <c r="I10" i="2" s="1"/>
  <c r="F45" i="2"/>
  <c r="F32" i="2"/>
  <c r="F21" i="2"/>
  <c r="F18" i="2"/>
  <c r="F15" i="2"/>
  <c r="F48" i="2"/>
  <c r="I48" i="2" s="1"/>
  <c r="F24" i="2"/>
  <c r="I24" i="2" s="1"/>
  <c r="F35" i="2"/>
  <c r="F6" i="2"/>
  <c r="F17" i="2"/>
  <c r="I17" i="2" s="1"/>
  <c r="E25" i="2"/>
  <c r="F19" i="2"/>
  <c r="I19" i="2" s="1"/>
  <c r="F31" i="2"/>
  <c r="F46" i="2"/>
  <c r="I46" i="2" s="1"/>
  <c r="E28" i="2"/>
  <c r="E4" i="2"/>
  <c r="H4" i="2" s="1"/>
  <c r="F27" i="2"/>
  <c r="F8" i="2"/>
  <c r="I8" i="2" s="1"/>
  <c r="F13" i="2"/>
  <c r="E26" i="2"/>
  <c r="E34" i="2"/>
  <c r="F51" i="2"/>
  <c r="I51" i="2" s="1"/>
  <c r="G32" i="2"/>
  <c r="G15" i="2"/>
  <c r="G21" i="2"/>
  <c r="D5" i="2"/>
  <c r="D7" i="2"/>
  <c r="D9" i="2"/>
  <c r="G12" i="2"/>
  <c r="D19" i="2"/>
  <c r="D28" i="2"/>
  <c r="G26" i="2"/>
  <c r="G28" i="2"/>
  <c r="D34" i="2"/>
  <c r="G37" i="2"/>
  <c r="G29" i="2"/>
  <c r="D44" i="2"/>
  <c r="D52" i="2"/>
  <c r="G50" i="2"/>
  <c r="G42" i="2"/>
  <c r="G18" i="2"/>
  <c r="G45" i="2"/>
  <c r="G3" i="2"/>
  <c r="D6" i="2"/>
  <c r="G7" i="2"/>
  <c r="D10" i="2"/>
  <c r="G9" i="2"/>
  <c r="G23" i="2"/>
  <c r="D35" i="2"/>
  <c r="G34" i="2"/>
  <c r="D45" i="2"/>
  <c r="G47" i="2"/>
  <c r="G39" i="2"/>
  <c r="G31" i="2"/>
  <c r="G52" i="2"/>
  <c r="G44" i="2"/>
  <c r="G49" i="2"/>
  <c r="G41" i="2"/>
  <c r="G4" i="2"/>
  <c r="D8" i="2"/>
  <c r="D13" i="2"/>
  <c r="D16" i="2"/>
  <c r="D24" i="2"/>
  <c r="G22" i="2"/>
  <c r="D30" i="2"/>
  <c r="D38" i="2"/>
  <c r="G33" i="2"/>
  <c r="D40" i="2"/>
  <c r="I33" i="2" l="1"/>
  <c r="I6" i="2"/>
  <c r="K20" i="2"/>
  <c r="I54" i="5" s="1"/>
  <c r="I13" i="2"/>
  <c r="H29" i="2"/>
  <c r="H27" i="2"/>
  <c r="H26" i="2"/>
  <c r="H37" i="2"/>
  <c r="J48" i="2"/>
  <c r="H39" i="2"/>
  <c r="H35" i="2"/>
  <c r="J36" i="2"/>
  <c r="H49" i="2"/>
  <c r="H32" i="2"/>
  <c r="H46" i="2"/>
  <c r="J46" i="2" s="1"/>
  <c r="H17" i="2"/>
  <c r="J17" i="2" s="1"/>
  <c r="I16" i="2"/>
  <c r="I35" i="2"/>
  <c r="I30" i="2"/>
  <c r="H10" i="2"/>
  <c r="K10" i="2" s="1"/>
  <c r="I33" i="5" s="1"/>
  <c r="H52" i="2"/>
  <c r="H44" i="2"/>
  <c r="H13" i="2"/>
  <c r="H18" i="2"/>
  <c r="H40" i="2"/>
  <c r="H19" i="2"/>
  <c r="J19" i="2" s="1"/>
  <c r="H24" i="2"/>
  <c r="H22" i="2"/>
  <c r="H11" i="2"/>
  <c r="H25" i="2"/>
  <c r="H51" i="2"/>
  <c r="H50" i="2"/>
  <c r="H41" i="2"/>
  <c r="H45" i="2"/>
  <c r="I27" i="2"/>
  <c r="I42" i="2"/>
  <c r="L36" i="2"/>
  <c r="J69" i="5" s="1"/>
  <c r="H33" i="2"/>
  <c r="K33" i="2" s="1"/>
  <c r="I66" i="5" s="1"/>
  <c r="I31" i="2"/>
  <c r="I26" i="2"/>
  <c r="H47" i="2"/>
  <c r="H31" i="2"/>
  <c r="H28" i="2"/>
  <c r="H14" i="2"/>
  <c r="I21" i="2"/>
  <c r="I37" i="2"/>
  <c r="H38" i="2"/>
  <c r="H6" i="2"/>
  <c r="H9" i="2"/>
  <c r="I32" i="2"/>
  <c r="I29" i="2"/>
  <c r="H43" i="2"/>
  <c r="I45" i="2"/>
  <c r="H15" i="2"/>
  <c r="H42" i="2"/>
  <c r="I44" i="2"/>
  <c r="L48" i="2"/>
  <c r="J24" i="5" s="1"/>
  <c r="I4" i="2"/>
  <c r="L4" i="2" s="1"/>
  <c r="J5" i="5" s="1"/>
  <c r="I23" i="2"/>
  <c r="L23" i="2" s="1"/>
  <c r="J57" i="5" s="1"/>
  <c r="I50" i="2"/>
  <c r="H30" i="2"/>
  <c r="H7" i="2"/>
  <c r="I34" i="2"/>
  <c r="I49" i="2"/>
  <c r="I22" i="2"/>
  <c r="H34" i="2"/>
  <c r="H5" i="2"/>
  <c r="K48" i="2"/>
  <c r="I24" i="5" s="1"/>
  <c r="I12" i="2"/>
  <c r="L12" i="2" s="1"/>
  <c r="J34" i="5" s="1"/>
  <c r="I47" i="2"/>
  <c r="I41" i="2"/>
  <c r="I3" i="2"/>
  <c r="H8" i="2"/>
  <c r="H3" i="2"/>
  <c r="I39" i="2"/>
  <c r="L20" i="2"/>
  <c r="J54" i="5" s="1"/>
  <c r="I9" i="2"/>
  <c r="I15" i="2"/>
  <c r="H16" i="2"/>
  <c r="H21" i="2"/>
  <c r="I18" i="2"/>
  <c r="I28" i="2"/>
  <c r="I52" i="2"/>
  <c r="I7" i="2"/>
  <c r="K36" i="2"/>
  <c r="I69" i="5" s="1"/>
  <c r="L29" i="2" l="1"/>
  <c r="J62" i="5" s="1"/>
  <c r="J13" i="2"/>
  <c r="K35" i="2"/>
  <c r="I68" i="5" s="1"/>
  <c r="L35" i="2"/>
  <c r="J68" i="5" s="1"/>
  <c r="K19" i="2"/>
  <c r="I53" i="5" s="1"/>
  <c r="L39" i="2"/>
  <c r="J76" i="5" s="1"/>
  <c r="K27" i="2"/>
  <c r="I61" i="5" s="1"/>
  <c r="K17" i="2"/>
  <c r="I36" i="5" s="1"/>
  <c r="J32" i="2"/>
  <c r="L18" i="2"/>
  <c r="J37" i="5" s="1"/>
  <c r="K37" i="2"/>
  <c r="I38" i="5" s="1"/>
  <c r="K46" i="2"/>
  <c r="I43" i="5" s="1"/>
  <c r="J47" i="2"/>
  <c r="J30" i="2"/>
  <c r="L26" i="2"/>
  <c r="J60" i="5" s="1"/>
  <c r="L41" i="2"/>
  <c r="J40" i="5" s="1"/>
  <c r="J44" i="2"/>
  <c r="L17" i="2"/>
  <c r="J36" i="5" s="1"/>
  <c r="J9" i="2"/>
  <c r="J35" i="2"/>
  <c r="L46" i="2"/>
  <c r="J43" i="5" s="1"/>
  <c r="J7" i="2"/>
  <c r="J37" i="2"/>
  <c r="J49" i="2"/>
  <c r="L50" i="2"/>
  <c r="J45" i="5" s="1"/>
  <c r="K13" i="2"/>
  <c r="I14" i="5" s="1"/>
  <c r="J31" i="2"/>
  <c r="L13" i="2"/>
  <c r="J14" i="5" s="1"/>
  <c r="L15" i="2"/>
  <c r="J35" i="5" s="1"/>
  <c r="J3" i="2"/>
  <c r="K14" i="2"/>
  <c r="I15" i="5" s="1"/>
  <c r="J14" i="2"/>
  <c r="K11" i="2"/>
  <c r="I13" i="5" s="1"/>
  <c r="J11" i="2"/>
  <c r="J52" i="2"/>
  <c r="J39" i="2"/>
  <c r="L19" i="2"/>
  <c r="J53" i="5" s="1"/>
  <c r="K5" i="2"/>
  <c r="I12" i="5" s="1"/>
  <c r="J5" i="2"/>
  <c r="J21" i="2"/>
  <c r="K8" i="2"/>
  <c r="I31" i="5" s="1"/>
  <c r="J8" i="2"/>
  <c r="J34" i="2"/>
  <c r="K32" i="2"/>
  <c r="I65" i="5" s="1"/>
  <c r="J45" i="2"/>
  <c r="J29" i="2"/>
  <c r="L6" i="2"/>
  <c r="J75" i="5" s="1"/>
  <c r="J6" i="2"/>
  <c r="J41" i="2"/>
  <c r="K40" i="2"/>
  <c r="I77" i="5" s="1"/>
  <c r="J40" i="2"/>
  <c r="J42" i="2"/>
  <c r="L38" i="2"/>
  <c r="J39" i="5" s="1"/>
  <c r="J38" i="2"/>
  <c r="J50" i="2"/>
  <c r="J18" i="2"/>
  <c r="J26" i="2"/>
  <c r="K16" i="2"/>
  <c r="I21" i="5" s="1"/>
  <c r="J16" i="2"/>
  <c r="J23" i="2"/>
  <c r="K49" i="2"/>
  <c r="I44" i="5" s="1"/>
  <c r="J15" i="2"/>
  <c r="L33" i="2"/>
  <c r="J66" i="5" s="1"/>
  <c r="J33" i="2"/>
  <c r="K51" i="2"/>
  <c r="I46" i="5" s="1"/>
  <c r="J51" i="2"/>
  <c r="J12" i="2"/>
  <c r="K25" i="2"/>
  <c r="I59" i="5" s="1"/>
  <c r="J25" i="2"/>
  <c r="L43" i="2"/>
  <c r="J23" i="5" s="1"/>
  <c r="J43" i="2"/>
  <c r="J28" i="2"/>
  <c r="J22" i="2"/>
  <c r="L10" i="2"/>
  <c r="J33" i="5" s="1"/>
  <c r="J10" i="2"/>
  <c r="J27" i="2"/>
  <c r="J4" i="2"/>
  <c r="K24" i="2"/>
  <c r="I58" i="5" s="1"/>
  <c r="J24" i="2"/>
  <c r="L47" i="2"/>
  <c r="J6" i="5" s="1"/>
  <c r="K30" i="2"/>
  <c r="I63" i="5" s="1"/>
  <c r="L32" i="2"/>
  <c r="J65" i="5" s="1"/>
  <c r="L22" i="2"/>
  <c r="J56" i="5" s="1"/>
  <c r="L52" i="2"/>
  <c r="J47" i="5" s="1"/>
  <c r="L11" i="2"/>
  <c r="J13" i="5" s="1"/>
  <c r="L44" i="2"/>
  <c r="J41" i="5" s="1"/>
  <c r="K6" i="2"/>
  <c r="I75" i="5" s="1"/>
  <c r="L51" i="2"/>
  <c r="J46" i="5" s="1"/>
  <c r="K44" i="2"/>
  <c r="I41" i="5" s="1"/>
  <c r="K43" i="2"/>
  <c r="I23" i="5" s="1"/>
  <c r="L40" i="2"/>
  <c r="J77" i="5" s="1"/>
  <c r="L24" i="2"/>
  <c r="J58" i="5" s="1"/>
  <c r="L25" i="2"/>
  <c r="J59" i="5" s="1"/>
  <c r="L31" i="2"/>
  <c r="J64" i="5" s="1"/>
  <c r="K31" i="2"/>
  <c r="I64" i="5" s="1"/>
  <c r="K21" i="2"/>
  <c r="I55" i="5" s="1"/>
  <c r="L37" i="2"/>
  <c r="J38" i="5" s="1"/>
  <c r="K45" i="2"/>
  <c r="I42" i="5" s="1"/>
  <c r="K26" i="2"/>
  <c r="I60" i="5" s="1"/>
  <c r="L14" i="2"/>
  <c r="J15" i="5" s="1"/>
  <c r="L9" i="2"/>
  <c r="J32" i="5" s="1"/>
  <c r="L42" i="2"/>
  <c r="J78" i="5" s="1"/>
  <c r="L28" i="2"/>
  <c r="J22" i="5" s="1"/>
  <c r="L27" i="2"/>
  <c r="J61" i="5" s="1"/>
  <c r="L45" i="2"/>
  <c r="J42" i="5" s="1"/>
  <c r="K38" i="2"/>
  <c r="I39" i="5" s="1"/>
  <c r="K29" i="2"/>
  <c r="I62" i="5" s="1"/>
  <c r="K42" i="2"/>
  <c r="I78" i="5" s="1"/>
  <c r="L8" i="2"/>
  <c r="J31" i="5" s="1"/>
  <c r="K47" i="2"/>
  <c r="I6" i="5" s="1"/>
  <c r="K34" i="2"/>
  <c r="I67" i="5" s="1"/>
  <c r="L3" i="2"/>
  <c r="K4" i="2"/>
  <c r="I5" i="5" s="1"/>
  <c r="L30" i="2"/>
  <c r="J63" i="5" s="1"/>
  <c r="K41" i="2"/>
  <c r="I40" i="5" s="1"/>
  <c r="L7" i="2"/>
  <c r="J30" i="5" s="1"/>
  <c r="K52" i="2"/>
  <c r="I47" i="5" s="1"/>
  <c r="K50" i="2"/>
  <c r="I45" i="5" s="1"/>
  <c r="K15" i="2"/>
  <c r="I35" i="5" s="1"/>
  <c r="K28" i="2"/>
  <c r="I22" i="5" s="1"/>
  <c r="K12" i="2"/>
  <c r="I34" i="5" s="1"/>
  <c r="L5" i="2"/>
  <c r="J12" i="5" s="1"/>
  <c r="K3" i="2"/>
  <c r="I4" i="5" s="1"/>
  <c r="K18" i="2"/>
  <c r="I37" i="5" s="1"/>
  <c r="K7" i="2"/>
  <c r="I30" i="5" s="1"/>
  <c r="K23" i="2"/>
  <c r="I57" i="5" s="1"/>
  <c r="K9" i="2"/>
  <c r="I32" i="5" s="1"/>
  <c r="K22" i="2"/>
  <c r="I56" i="5" s="1"/>
  <c r="L21" i="2"/>
  <c r="J55" i="5" s="1"/>
  <c r="L34" i="2"/>
  <c r="J67" i="5" s="1"/>
  <c r="L16" i="2"/>
  <c r="J21" i="5" s="1"/>
  <c r="L49" i="2"/>
  <c r="J44" i="5" s="1"/>
  <c r="K39" i="2"/>
  <c r="I76" i="5" s="1"/>
  <c r="K53" i="2" l="1"/>
  <c r="J4" i="5"/>
  <c r="J7" i="5" s="1"/>
  <c r="L53" i="2"/>
  <c r="I16" i="5"/>
  <c r="I25" i="5"/>
  <c r="I70" i="5"/>
  <c r="J48" i="5"/>
  <c r="J70" i="5"/>
  <c r="J25" i="5"/>
  <c r="I7" i="5"/>
  <c r="I48" i="5"/>
  <c r="J16" i="5"/>
  <c r="I79" i="5"/>
  <c r="J79" i="5"/>
</calcChain>
</file>

<file path=xl/sharedStrings.xml><?xml version="1.0" encoding="utf-8"?>
<sst xmlns="http://schemas.openxmlformats.org/spreadsheetml/2006/main" count="6859" uniqueCount="1491">
  <si>
    <t>Carimbo de data/hora</t>
  </si>
  <si>
    <t>1) Este é um lugar (ambiente físico) agradável para trabalhar.</t>
  </si>
  <si>
    <t>1) Gostaria de deixar um comentário sobre?</t>
  </si>
  <si>
    <t>2) Eu recebo os equipamentos e recursos necessários para realizar o meu trabalho.</t>
  </si>
  <si>
    <t>2) Gostaria de deixar um comentário sobre?</t>
  </si>
  <si>
    <t>3) As pessoas aqui estão dispostas a fazer um pouco além da sua obrigação para concluir um trabalho.</t>
  </si>
  <si>
    <t>3) Gostaria de deixar um comentário sobre?</t>
  </si>
  <si>
    <t>4) Pode-se contar com a colaboração das pessoas por aqui.</t>
  </si>
  <si>
    <t>4) Gostaria de deixar um comentário sobre?</t>
  </si>
  <si>
    <t>5) A empresa oferece treinamentos ou oportunidades de desenvolvimento para o meu crescimento profissional.</t>
  </si>
  <si>
    <t>5) Gostaria de deixar um comentário sobre?</t>
  </si>
  <si>
    <t>6) Você tem uma visão clara de para onde estamos indo (futuro da empresa) e como fazer para chegar lá.</t>
  </si>
  <si>
    <t>6) Gostaria de deixar um comentário sobre?</t>
  </si>
  <si>
    <t>7) A empresa demonstra reconhecimento pelo bom trabalho e pelo esforço extra.</t>
  </si>
  <si>
    <t>7) Gostaria de deixar um comentário sobre?</t>
  </si>
  <si>
    <t>8) As pessoas aqui nesta empresa são remuneradas adequadamente em relação a outras empresas do mesmo segmento de mercado.</t>
  </si>
  <si>
    <t>8) Gostaria de deixar um comentário sobre?</t>
  </si>
  <si>
    <t>9) Meu trabalho tem um sentido especial. Para mim, não é só “mais um emprego”.</t>
  </si>
  <si>
    <t>9) Gostaria de deixar um comentário sobre?</t>
  </si>
  <si>
    <t>10) Quando é contratado um funcionário novo, as pessoas fazem com que ele se sinta bem-vindo.</t>
  </si>
  <si>
    <t>10) Gostaria de deixar um comentário sobre?</t>
  </si>
  <si>
    <t>11) Tenho orgulho de contar com as pessoas que trabalho aqui.</t>
  </si>
  <si>
    <t>11) Gostaria de deixar um comentário sobre?</t>
  </si>
  <si>
    <t>12) As pessoas aqui têm vontade de vir para o trabalho.</t>
  </si>
  <si>
    <t>12) Gostaria de deixar um comentário sobre?</t>
  </si>
  <si>
    <t>13) Eu me sinto à vontade na empresa, sem precisar fingir que sou outra pessoa.</t>
  </si>
  <si>
    <t>13) Gostaria de deixar um comentário sobre?</t>
  </si>
  <si>
    <t>14) Existem canais de comunicação bem definidos para que os colaboradores possam expressar suas sugestões e reivindicações.</t>
  </si>
  <si>
    <t>14) Gostaria de deixar um comentário sobre?</t>
  </si>
  <si>
    <t>15) Você acredita que a empresa só promoveria uma demissão em massa como último recurso.</t>
  </si>
  <si>
    <t>15) Gostaria de deixar um comentário sobre?</t>
  </si>
  <si>
    <t>16) As pessoas são encorajadas a equilibrar sua vida profissional e pessoal.</t>
  </si>
  <si>
    <t>16) Gostaria de deixar um comentário sobre?</t>
  </si>
  <si>
    <t>17) Você sabe com clareza quem é seu líder (superior imediato).</t>
  </si>
  <si>
    <t>17) Gostaria de deixar um comentário sobre?</t>
  </si>
  <si>
    <t>18) O seu líder (superior imediato) deixa claro o que ele espera do seu trabalho.</t>
  </si>
  <si>
    <t>18) Gostaria de deixar um comentário sobre?</t>
  </si>
  <si>
    <t>19) O seu líder demonstra comprometimento com o negócio da empresa (interesse no crescimento da empresa).</t>
  </si>
  <si>
    <t>19) Gostaria de deixar um comentário sobre?</t>
  </si>
  <si>
    <t>20) O seu líder é honesto e ético na condução dos negócios.</t>
  </si>
  <si>
    <t>20) Gostaria de deixar um comentário sobre?</t>
  </si>
  <si>
    <t>21) O seu líder demonstra interesse sincero por você como pessoa e não somente como empregado.</t>
  </si>
  <si>
    <t>21) Gostaria de deixar um comentário sobre?</t>
  </si>
  <si>
    <t>22) É fácil se aproximar do seu líder e é também fácil de falar com ele.</t>
  </si>
  <si>
    <t>22) Gostaria de deixar um comentário sobre?</t>
  </si>
  <si>
    <t>23) O seu líder treina as pessoas com o foco nas suas necessidades.</t>
  </si>
  <si>
    <t>23) Gostaria de deixar um comentário sobre?</t>
  </si>
  <si>
    <t>24) O seu líder reconhece os erros como oportunidades de aprendizado.</t>
  </si>
  <si>
    <t>24) Gostaria de deixar um comentário sobre?</t>
  </si>
  <si>
    <t>25) O seu líder demonstra interesse nas ideias e sugestões que você e seus companheiros apresentam e toma ações com base nelas.</t>
  </si>
  <si>
    <t>25) Gostaria de deixar um comentário sobre?</t>
  </si>
  <si>
    <t>26) O seu líder lhe mantém informado sobre assuntos importantes e sobre mudanças na empresa.</t>
  </si>
  <si>
    <t>26) Gostaria de deixar um comentário sobre?</t>
  </si>
  <si>
    <t>27) O seu líder tem uma visão clara de para onde estamos indo (futuro da empresa) e o que fazer para chegar lá.</t>
  </si>
  <si>
    <t>27) Gostaria de deixar um comentário sobre?</t>
  </si>
  <si>
    <t>28) O seu líder confia no bom trabalho das pessoas sem precisar vigiá-las.</t>
  </si>
  <si>
    <t>28) Gostaria de deixar um comentário sobre?</t>
  </si>
  <si>
    <t>29) O seu líder envolve as pessoas em decisões que afetam atividades e seu ambiente de trabalho.</t>
  </si>
  <si>
    <t>29) Gostaria de deixar um comentário sobre?</t>
  </si>
  <si>
    <t>30) O seu líder trata todos da mesma forma, sem proteger ninguém.</t>
  </si>
  <si>
    <t>30) Gostaria de deixar um comentário sobre?</t>
  </si>
  <si>
    <t>31) O seu líder sabe coordenar pessoas e distribuir tarefas adequadamente.</t>
  </si>
  <si>
    <t>31) Gostaria de deixar um comentário sobre?</t>
  </si>
  <si>
    <t>32) O seu líder dá autonomia às pessoas.</t>
  </si>
  <si>
    <t>32) Gostaria de deixar um comentário sobre?</t>
  </si>
  <si>
    <t>33) O seu líder age de acordo com o que fala.</t>
  </si>
  <si>
    <t>33) Gostaria de deixar um comentário sobre?</t>
  </si>
  <si>
    <t>34) O seu líder dá feedback (crítica construtiva) sobre o desempenho de seu trabalho.</t>
  </si>
  <si>
    <t>34) Gostaria de deixar um comentário sobre?</t>
  </si>
  <si>
    <t>35) As pessoas aqui na empresa são bem tratadas independentemente da sua idade, cor, religião ou sexo.</t>
  </si>
  <si>
    <t>35) Gostaria de deixar um comentário sobre?</t>
  </si>
  <si>
    <t>36) Você alguma vez já foi humilhado pelo seu líder ou presenciou alguma humilhação.</t>
  </si>
  <si>
    <t>36) Gostaria de deixar um comentário sobre?</t>
  </si>
  <si>
    <t>37) Aqui as pessoas se importam umas com as outras.</t>
  </si>
  <si>
    <t>37) Gostaria de deixar um comentário sobre?</t>
  </si>
  <si>
    <t>38) Existe um sentimento de equipe por aqui.</t>
  </si>
  <si>
    <t>38) Gostaria de deixar um comentário sobre?</t>
  </si>
  <si>
    <t>39) Nós sempre comemoramos as metas atingidas e os eventos especiais.</t>
  </si>
  <si>
    <t>39) Gostaria de deixar um comentário sobre?</t>
  </si>
  <si>
    <t>40) As pessoas fazem “politicagem” (puxa saco) como forma de obter resultados.</t>
  </si>
  <si>
    <t>40) Gostaria de deixar um comentário sobre?</t>
  </si>
  <si>
    <t>41) A Diretoria da empresa é aberta a sugestões e é fácil falar com ela.</t>
  </si>
  <si>
    <t>41) Gostaria de deixar um comentário sobre?</t>
  </si>
  <si>
    <t>42) Você tem um bom relacionamento com a Diretoria da empresa.</t>
  </si>
  <si>
    <t>42) Gostaria de deixar um comentário sobre?</t>
  </si>
  <si>
    <t>43) Eu sou bem tratado, independente de minha função na empresa.</t>
  </si>
  <si>
    <t>43) Gostaria de deixar um comentário sobre?</t>
  </si>
  <si>
    <t>44) Sinto que sou valorizado aqui e que posso fazer a diferença.</t>
  </si>
  <si>
    <t>44) Gostaria de deixar um comentário sobre?</t>
  </si>
  <si>
    <t>45) Este é um lugar agradável para se trabalhar.</t>
  </si>
  <si>
    <t>45) Gostaria de deixar um comentário sobre?</t>
  </si>
  <si>
    <t>46) Existe fofoca por aqui.</t>
  </si>
  <si>
    <t>46) Gostaria de deixar um comentário sobre?</t>
  </si>
  <si>
    <t>47) Percebo um clima de rivalidade (competição interna) aqui.</t>
  </si>
  <si>
    <t>47) Gostaria de deixar um comentário sobre?</t>
  </si>
  <si>
    <t>48) Pretendo trabalhar aqui ainda por muito tempo.</t>
  </si>
  <si>
    <t>48) Gostaria de deixar um comentário sobre?</t>
  </si>
  <si>
    <t>49) Existe um bom relacionamento entre as áreas da empresa (equipes das diferentes expertises de conhecimento).</t>
  </si>
  <si>
    <t>49) Gostaria de deixar um comentário sobre?</t>
  </si>
  <si>
    <t>50) Levando-se tudo em conta, eu diria que este é um excelente lugar para trabalhar.</t>
  </si>
  <si>
    <t>50) Gostaria de deixar um comentário sobre?</t>
  </si>
  <si>
    <t>51) Marque os TRÊS (03) benefícios que você julga mais importantes , independente se a empresa oferece ou não.</t>
  </si>
  <si>
    <t>51) Gostaria de deixar um comentário sobre?</t>
  </si>
  <si>
    <t>52) Cite 3 (três) PONTOS FORTES DA EMPRESA (o que já é bom na empresa).</t>
  </si>
  <si>
    <t>53) Cite 3 (três) PONTOSDE MELHORIA DA EMPRESA (o que ainda precisa ser mudado na empresa).</t>
  </si>
  <si>
    <t>54) Este espaço é seu, use-o para registrar comentários e sugestões não abordados anteriormente.</t>
  </si>
  <si>
    <t>Concordo</t>
  </si>
  <si>
    <t>Discordo</t>
  </si>
  <si>
    <t>Concordo Sempre</t>
  </si>
  <si>
    <t>Discordo Sempre</t>
  </si>
  <si>
    <t>SATISFAÇÃO</t>
  </si>
  <si>
    <t>INSATISFAÇÃO</t>
  </si>
  <si>
    <t>% SATISFAÇÃO</t>
  </si>
  <si>
    <t>% INSATISFAÇÃO</t>
  </si>
  <si>
    <t>PERGUNTA</t>
  </si>
  <si>
    <t>PILAR</t>
  </si>
  <si>
    <t>COMPROMETIMENTO ORGANIZACIONAL</t>
  </si>
  <si>
    <t>TRABALHO EM EQUIPE</t>
  </si>
  <si>
    <t>COMUNICAÇÃO</t>
  </si>
  <si>
    <t>LIDERANÇA</t>
  </si>
  <si>
    <t>AMBIENTE DE TRABALHO</t>
  </si>
  <si>
    <t>GESTÃO DO CAPITAL HUMANO</t>
  </si>
  <si>
    <t>-</t>
  </si>
  <si>
    <t>TOTAL</t>
  </si>
  <si>
    <t>QTD RESPOSTAS</t>
  </si>
  <si>
    <t>ATD RESPOSTAS</t>
  </si>
  <si>
    <t>Sim</t>
  </si>
  <si>
    <t>Nem sempre</t>
  </si>
  <si>
    <t>Não</t>
  </si>
  <si>
    <t>.</t>
  </si>
  <si>
    <t>...</t>
  </si>
  <si>
    <t xml:space="preserve"> Eu acho q poderíamos melhorar o salário pq hoje ao nosso redor tudo está muito acima do preço e a dificuldade  aumenta,Em relação aos benefícios, acho q poderíamos melhorar o vale alimentação, pq hoje em dia um almoço custa em torno de 21$ , poderíamos melhorar também em questão de vale academia </t>
  </si>
  <si>
    <t xml:space="preserve">Procuro crescer e acrescentar profissionalismo dentro da família nordeste </t>
  </si>
  <si>
    <t>Nosso supervisor nos dá a liberdade de expressar ideias e opiniões para a melhora do dia a dia</t>
  </si>
  <si>
    <t xml:space="preserve">Acho q a empresa deve tomar a decisão de demissão a partir do momento q a pessoa não se dispõe a cumprir seu dever como ctl </t>
  </si>
  <si>
    <t xml:space="preserve">Sim, um cara mente aberta e muito parceiro de serviço de todas as horas </t>
  </si>
  <si>
    <t xml:space="preserve">Não só deixa claro, como ajuda a melhorar todos os dias </t>
  </si>
  <si>
    <t xml:space="preserve">Visão plena em relação ao crescimento da família nordeste </t>
  </si>
  <si>
    <t xml:space="preserve">Sim, a ajuda é diária como pessoa e profissional </t>
  </si>
  <si>
    <t>Ainda não conheci ainda a diretoria</t>
  </si>
  <si>
    <t xml:space="preserve">Lugar excelente pra trabalhar </t>
  </si>
  <si>
    <t>Assistência Médica, Auxílio Combustível, Vale Alimentação, Empréstimo Consignado, Gympass (Convênio Academias)</t>
  </si>
  <si>
    <t xml:space="preserve">Melhorais benefícios </t>
  </si>
  <si>
    <t>união, metodologia de trabalho, incentivo,</t>
  </si>
  <si>
    <t>salário, vale alimentação,  melhoria de benefícios..</t>
  </si>
  <si>
    <t>O vale academia ajudaria muito as pessoas q gostam de fazer Sport e incentiva a vida pessoal</t>
  </si>
  <si>
    <t xml:space="preserve">. </t>
  </si>
  <si>
    <t xml:space="preserve">De alguns,não de todos </t>
  </si>
  <si>
    <t xml:space="preserve">Sim </t>
  </si>
  <si>
    <t xml:space="preserve">Não todos </t>
  </si>
  <si>
    <t xml:space="preserve">Muito acessível </t>
  </si>
  <si>
    <t xml:space="preserve">Não </t>
  </si>
  <si>
    <t xml:space="preserve">Na medida do possível </t>
  </si>
  <si>
    <t xml:space="preserve">Nunca </t>
  </si>
  <si>
    <t xml:space="preserve">Existe muitos fofoca por aqui </t>
  </si>
  <si>
    <t xml:space="preserve">Sim sem dúvidas </t>
  </si>
  <si>
    <t>Auxílio Combustível, Refeição na Empresa, Vale Refeição, Vale Alimentação, Cesta Básica</t>
  </si>
  <si>
    <t>Como eu sou tratado,pagamentos sem nem um dia de atraso e o convívio com todos.</t>
  </si>
  <si>
    <t xml:space="preserve">Pra mim está indo tudo bem,não tem nada a melhorar no meu ver </t>
  </si>
  <si>
    <t>Sucesso Nordeste!!!</t>
  </si>
  <si>
    <t>Me sinto muito bem trabalhando na Nordeste, aqui tem pessoas maravilhosas.</t>
  </si>
  <si>
    <t>Já foi prometido alguns cursos para nosso desenvolvimento profissional, mas até o momento ainda não tivemos nenhum retorno sobre.</t>
  </si>
  <si>
    <t xml:space="preserve">Amo o que eu faço </t>
  </si>
  <si>
    <t>Aqui acolhemos todo mundo bem</t>
  </si>
  <si>
    <t>Não, não acontece</t>
  </si>
  <si>
    <t>Nunca aconteceu nada desse tipo na empresa.</t>
  </si>
  <si>
    <t>Me sinto desvalorizado pelas pessoas que trabalham aqui e não pela empresa.</t>
  </si>
  <si>
    <t xml:space="preserve">Não temos rivalidade.. assim eu penso </t>
  </si>
  <si>
    <t>Assistência Médica, Auxílio Combustível, Multibenefícios Alimentação/ Refeição, Cesta Básica, Day Off</t>
  </si>
  <si>
    <t xml:space="preserve">Benefícios, salários em dia, somos livres para trabalhar. </t>
  </si>
  <si>
    <t>Oportunidades de crescimento, reconhecer o esforço, escutar mais os colaboradores.</t>
  </si>
  <si>
    <t>Nunca.</t>
  </si>
  <si>
    <t>Não.</t>
  </si>
  <si>
    <t>Não no meu setor.</t>
  </si>
  <si>
    <t>Em alguma situações.</t>
  </si>
  <si>
    <t>Assistência Médica, Assistência Odontológica, Auxílio Combustível, Vale Refeição, Vale Alimentação</t>
  </si>
  <si>
    <t>Agilidade,processos,convivência.</t>
  </si>
  <si>
    <t>Sala comercial,área de descanso, variar mix de equipamentos.</t>
  </si>
  <si>
    <t>humberto.aragao@nordesteloc.com.br</t>
  </si>
  <si>
    <t xml:space="preserve">Não vejo ninguém faz oq eu fasso além da minha obrigação </t>
  </si>
  <si>
    <t xml:space="preserve">Nunca tiver oportunidade aqui </t>
  </si>
  <si>
    <t xml:space="preserve">Pra mim não </t>
  </si>
  <si>
    <t xml:space="preserve">No começo sim mais depois não </t>
  </si>
  <si>
    <t xml:space="preserve">Eu sim mais não sei as outras pessoas </t>
  </si>
  <si>
    <t xml:space="preserve">Sim muitos vezes </t>
  </si>
  <si>
    <t xml:space="preserve">Minha função aqui e desvalorizada não pela empresa mais sim pela equipe de trabalho </t>
  </si>
  <si>
    <t>Aqui só que tem e fofoca</t>
  </si>
  <si>
    <t xml:space="preserve">Lugar e bom pra trabalhar mais as pessoas não </t>
  </si>
  <si>
    <t>Assistência Médica, Assistência Odontológica, Vale Alimentação, Cesta Básica, Seguro de Vida</t>
  </si>
  <si>
    <t xml:space="preserve">Os benefícios são bom mais queira outro </t>
  </si>
  <si>
    <t xml:space="preserve">Sem resposta </t>
  </si>
  <si>
    <t xml:space="preserve">Não sei oq fala </t>
  </si>
  <si>
    <t xml:space="preserve">Por mais que seja uma equipe pequena, infelizmente a maioria é dotado de uma política individualista, gerando muitas vezes inclusive conflitos e fugindo das responsabilidades de suas próprias funções </t>
  </si>
  <si>
    <t xml:space="preserve">Sei que temos por obrigação apostar em nosso próprio conhecimento, através cursos por exemplo, mas seria interessante a empresa oferecer algo “fora da caixa”. Exemplo: um curso pago de alto nível em técnica de vendas para o setor comercial.  </t>
  </si>
  <si>
    <t>Uma das políticas da empresa de maior prestígio sem dúvida alguma é o reconhecimento!</t>
  </si>
  <si>
    <t xml:space="preserve">Tenho por natureza entregar excelência e dedicação em tudo que faço. </t>
  </si>
  <si>
    <t xml:space="preserve">Nem todos são amigavelmente saudáveis </t>
  </si>
  <si>
    <t xml:space="preserve">Tem pessoas que demonstram nitidamente não só pela aparência ao chegar na empresa, quanto pelas próprias palavras, a sua insatisfação </t>
  </si>
  <si>
    <t>Não só a mim como a todos. Sempre solicito, disposto a ajudar. Amigo de todos (até mesmo dos que não merecem)</t>
  </si>
  <si>
    <t xml:space="preserve">Confia até demais. Poderia ser um pouco mais de malícia, pessoas erram e fazem coisas erradas quase que o tempo inteiro </t>
  </si>
  <si>
    <t xml:space="preserve">Sempre democrático </t>
  </si>
  <si>
    <t xml:space="preserve">Empresa inclusiva em todos os campos </t>
  </si>
  <si>
    <t>Jamais presenciei</t>
  </si>
  <si>
    <t>A maioria das pessoas quando não podem ajudar, tentam prejudicar o colega</t>
  </si>
  <si>
    <t xml:space="preserve">Infelizmente por diversas vezes o individualismo prevalece </t>
  </si>
  <si>
    <t xml:space="preserve">Nunca presenciei </t>
  </si>
  <si>
    <t xml:space="preserve">Diretores sem acessíveis e dispostos a ouvirem </t>
  </si>
  <si>
    <t xml:space="preserve">A fofoca na empresa Chega a ser cultural. </t>
  </si>
  <si>
    <t xml:space="preserve">No momento não consigo enxergar oportunidades além devido ao nosso próprio mercado (escasso infelizmente), e busco sempre crescimento na área profissional, não a tôa que me capacito constantemente para isso. 
</t>
  </si>
  <si>
    <t>Assistência Médica, Assistência Odontológica, Auxílio Combustível, Multibenefícios Alimentação/ Refeição, Empréstimo Consignado</t>
  </si>
  <si>
    <t>Transparência, pontualidade salarial e inclusão.</t>
  </si>
  <si>
    <t>Vale alimentação defasado, banco de horas individual (como sugestão)</t>
  </si>
  <si>
    <t xml:space="preserve">Sugestão/solicitação que já foi realizada anteriormente porém não acatada: banheiros exclusivos individuais para homens e mulheres </t>
  </si>
  <si>
    <t xml:space="preserve">Ambiente Agradável </t>
  </si>
  <si>
    <t>Recebo.</t>
  </si>
  <si>
    <t>Alguns não., falta um pouco mais de comprimento de algumas pessoas para ajuda o próximo e para seu próprio crescimento.</t>
  </si>
  <si>
    <t>Porém, nem sempre.</t>
  </si>
  <si>
    <t>Em Relação a treinamentos poderíamos te um pouco mais, fazer parceiras com entidades de cursos profissionalizante.</t>
  </si>
  <si>
    <t>Crescimento gigantesco.</t>
  </si>
  <si>
    <t>As vezes.</t>
  </si>
  <si>
    <t>Acredito que sim.</t>
  </si>
  <si>
    <t>Amo o que faço.</t>
  </si>
  <si>
    <t xml:space="preserve">Sim, com certeza </t>
  </si>
  <si>
    <t xml:space="preserve">Turma boa </t>
  </si>
  <si>
    <t>Empresa leve, me sinto muito a vontade.</t>
  </si>
  <si>
    <t>Espero que nunca aconteça</t>
  </si>
  <si>
    <t>Sim, porém depende de cada um</t>
  </si>
  <si>
    <t xml:space="preserve">Sim, se damos super bem </t>
  </si>
  <si>
    <t xml:space="preserve">Certeza </t>
  </si>
  <si>
    <t>Demais.</t>
  </si>
  <si>
    <t>Deixa a desejar um pouco na cobrança das atividades diárias.</t>
  </si>
  <si>
    <t>Sim sim</t>
  </si>
  <si>
    <t>Muito.</t>
  </si>
  <si>
    <t xml:space="preserve">Muito agradável </t>
  </si>
  <si>
    <t xml:space="preserve">As vezes </t>
  </si>
  <si>
    <t xml:space="preserve">Ótimo </t>
  </si>
  <si>
    <t>Assistência Médica, Assistência Odontológica, Auxílio Combustível, Vale Refeição, Auxílio Educação</t>
  </si>
  <si>
    <t xml:space="preserve">Bons auxílios </t>
  </si>
  <si>
    <t xml:space="preserve">Empresa ótima de trabalho.
Ambiente Agradável 
Fazemos o que e certo </t>
  </si>
  <si>
    <t xml:space="preserve">Oportunidade de cursos 
Promoções 
</t>
  </si>
  <si>
    <t>Tudo tranquilo.</t>
  </si>
  <si>
    <t>Mas poderia melhorar um pouco mas nós epis</t>
  </si>
  <si>
    <t xml:space="preserve">Acho q deveria ganhar um pouco mas na extra </t>
  </si>
  <si>
    <t xml:space="preserve">Ela saber reconhecer o trabalhador </t>
  </si>
  <si>
    <t xml:space="preserve">Tem umas q vem arrastado </t>
  </si>
  <si>
    <t xml:space="preserve">Sempre ajuda na evolução da empresa </t>
  </si>
  <si>
    <t xml:space="preserve">Sempre tenta ajudar os colaboradores da empresa </t>
  </si>
  <si>
    <t xml:space="preserve">Uma pessoa ótima </t>
  </si>
  <si>
    <t xml:space="preserve">Todos são tratados. Da msm forma </t>
  </si>
  <si>
    <t xml:space="preserve">A maioria sim </t>
  </si>
  <si>
    <t>Sempre tem uma pessoa q puxa o saco .</t>
  </si>
  <si>
    <t xml:space="preserve">Tem 2 q gosta de uma fofoca </t>
  </si>
  <si>
    <t xml:space="preserve">Tudo mundo ajuda </t>
  </si>
  <si>
    <t>Auxílio Combustível, Multibenefícios Alimentação/ Refeição, Auxílio Educação, Cesta Básica, Empréstimo Consignado</t>
  </si>
  <si>
    <t xml:space="preserve">Seria muito bom nesses auxílio pra nós colaboradores </t>
  </si>
  <si>
    <t>Prestativa, oportunidade, evolução,</t>
  </si>
  <si>
    <t xml:space="preserve">Salaria, ajuda de custo de combustível, auxílio alimentação </t>
  </si>
  <si>
    <t xml:space="preserve">Muito obrigado pela oportunidade..mas ajude a melhorar nas nossas respostas </t>
  </si>
  <si>
    <t xml:space="preserve">A quantidade de fardamento é insuficiente, mecânicos e externo principalmente que suam mais e precisam lavar as fadas mais vezes em pouco tempo elas ficam desquitaras, velhas e com uma aparência ruim </t>
  </si>
  <si>
    <t>Existe sim pessoas que vc ver fazendo o além dando seu melhor mas tem algumas pessoas que fazem apenas o que é solicitado em seu cargo</t>
  </si>
  <si>
    <t xml:space="preserve">Cabe melhorias em relação a treinamentos, vejo que as pessoas que estão entrando por exemplo não tem treinamento nem sobre os equipamentos nem sobre os processos da empresa. </t>
  </si>
  <si>
    <t>Em relação a remuneração vejo que as outras empresas no mercado pagam melhor, tanto fixo que chega ser uma diferença de 500,00 a menos distante , outro ponto seria a melhoria no valor da alimentação pois atualmente conseguimos até comprar a refeição mais algo pra beber e acompanhar não . Uma melhoria poderia ter um benefício de auxílio a academia outras empresas no mesmo segmento no mercado possui e é ideal para incentivar o funcionário a cuidar da saúde.</t>
  </si>
  <si>
    <t>Cabe melhoria uma sugestão era ter um contato ouvidoria para que os funcionário pudessem expressar suas reivindicação, ideias e pedidos de ajuda.</t>
  </si>
  <si>
    <t>Meu líder creio que não tem suporte para treinar quem vem chegando na empresa de colaborador novo e nem atualizações .</t>
  </si>
  <si>
    <t>Meu líder está sempre chamando os funcionários para feedbook</t>
  </si>
  <si>
    <t xml:space="preserve">Nunca vi o líder agir dessa forma </t>
  </si>
  <si>
    <t xml:space="preserve">Existe pessoas sim que se importam com as outras mas existe algumas que pensam somente em si </t>
  </si>
  <si>
    <t xml:space="preserve">Não vejo fofoca no sentido de prejudicar a empresa ou algum colaborador </t>
  </si>
  <si>
    <t>Vejo aqui entre as áreas os colaboradores se ajudando</t>
  </si>
  <si>
    <t xml:space="preserve">Existem pontos de melhorias que creio que será ouvido e aos poucos trabalhados e por isso ainda sim é um lugar bom de se trabalhar </t>
  </si>
  <si>
    <t>Assistência Médica, Multibenefícios Alimentação/ Refeição, Auxílio Educação, Gympass (Convênio Academias), Day Off</t>
  </si>
  <si>
    <t>Creio que alguns benefício que ainda não possuímos são simples por exemplo o day off é um deles .</t>
  </si>
  <si>
    <t>Transparência.
Pontualidade.
Cordialidade.</t>
  </si>
  <si>
    <t>Salário.
Benefícios.
Treinamentos.</t>
  </si>
  <si>
    <t xml:space="preserve">Creio que a Nordeste tem total capacidade de melhoria tanto que essa pesquisa é um dos indícios disso uma empresa que está em crescimento ainda assim é uma boa empresa pra se trabalhar, indicaria como uma boa empresa porém as melhorias em relação a benefícios , salários e treinamentos são os mais importantes </t>
  </si>
  <si>
    <t>Acredito que deva melhorar em relação aos benefícios, tipo aumentar o valor do vale refeição para 25,00 por dia, Vale cultura, Gim pés, vale combustível para quem tem veículo próprio mas não faz uso do vale transporte.</t>
  </si>
  <si>
    <t xml:space="preserve">Deveriam ter um setor para este tipo de atendimento/suporte aos funcionários </t>
  </si>
  <si>
    <t xml:space="preserve">As vezes sentimos falta desse diálogo diário, para que entendam as nossas necessidades </t>
  </si>
  <si>
    <t xml:space="preserve">Falta de treinamentos específicos para a condução das nossas equipes </t>
  </si>
  <si>
    <t xml:space="preserve">As vezes ficamos desenformados sobre as decisões estratégicas da empresa </t>
  </si>
  <si>
    <t xml:space="preserve">É notório que nesta empresa se respeitam as diversidades </t>
  </si>
  <si>
    <t xml:space="preserve">Só precisam estar mais disponíveis a ouvir mais as sugestões </t>
  </si>
  <si>
    <t>Ambiente descontraído e bom para se trabalhar</t>
  </si>
  <si>
    <t>Auxílio Combustível, Multibenefícios Alimentação/ Refeição, Enxoval Maternidade, Seguro de Vida, Empréstimo Consignado</t>
  </si>
  <si>
    <t>Estes benefícios irão fazer com que a empresa se torne uma referência no mercado</t>
  </si>
  <si>
    <t xml:space="preserve">Tem oportunidade de crescimento; Ambiente leve e descontraído; Empresa que valoriza as pessoas </t>
  </si>
  <si>
    <t>No intuito de se tornar uma empresa melhor</t>
  </si>
  <si>
    <t>Esta empresa está em crescimento e acreditamos que ela vai conseguir os seus objetivos, só que em paralelo deva melhorar os seus benefícios para que se torne uma empresa desejada para se trabalhar, valorizar a sua mão de obra pois é diferenciada e deve ser tratada diferente do mercado.</t>
  </si>
  <si>
    <t xml:space="preserve">Bom </t>
  </si>
  <si>
    <t>Assistência Médica, Assistência Odontológica, Auxílio Combustível, Refeição na Empresa, Cesta Básica</t>
  </si>
  <si>
    <t xml:space="preserve">Ser mas valorizador </t>
  </si>
  <si>
    <t xml:space="preserve">Tudo éu acho bom na empresa não tenho que fala </t>
  </si>
  <si>
    <t xml:space="preserve">Vale combustível </t>
  </si>
  <si>
    <t xml:space="preserve">Gostaria muito do vale combustível </t>
  </si>
  <si>
    <t xml:space="preserve">Deveríamos receber mais fardamentos </t>
  </si>
  <si>
    <t>Pois estamos sempre em conjunto ajudando uns aos outros.</t>
  </si>
  <si>
    <t xml:space="preserve">Pois sempre estão nos dando oportunidades de aprender </t>
  </si>
  <si>
    <t xml:space="preserve">O salário é abaixo do mercado, e algumas funções dentro da empresa deveria receber insalubridade e periculosidade pois trabalhamos com produtos altamente cancerígeno e com produtos químicos </t>
  </si>
  <si>
    <t>Pois todos se dispõe a ajudá-lo a desenvolver sua função e aprender um pouco mais sobre a mesma.</t>
  </si>
  <si>
    <t xml:space="preserve">Deveria haver uma ouvidoria </t>
  </si>
  <si>
    <t>De acordo com sua função todos tem autonomia moderada</t>
  </si>
  <si>
    <t xml:space="preserve">Pois ele sempre busca nos ajudar e nos compreender </t>
  </si>
  <si>
    <t xml:space="preserve">Pois nós deixa a vontade para desenvolver nossa função </t>
  </si>
  <si>
    <t>Assistência Médica, Multibenefícios Alimentação/ Refeição, Auxílio Educação, Seguro de Vida, Empréstimo Consignado, Day Off</t>
  </si>
  <si>
    <t xml:space="preserve">Assistência médica é essencial pois todos estão exposto a sofrer algum acidente de trabalho </t>
  </si>
  <si>
    <t>- A empresa está sempre aberta a novas ideias 
- A empresa oferece plano de carreira e oportunidades a todos 
- Estão sempre disposto a ajudar</t>
  </si>
  <si>
    <t xml:space="preserve">- Bonificação deveria ser para todos, pois todos tem participação em locações, toda função é essencial para obtermos as metas.
- Deveria melhorar os material dos fardamentos e quantidade 
- Alguns EPI's poderiam ser melhorados ex, luvas para lavagem, respirador </t>
  </si>
  <si>
    <t xml:space="preserve">As pessoas sao muito expressivas e demonstram no ambiente de trabalho muito o sentimentos quando esta com raiva por assunto de trabalho ou vida pessoal e  quando se preciaa fazer trabalhos internos ou falar com o proximo repassa no olhar </t>
  </si>
  <si>
    <t>Precisamos de melhoria com os aparelhos celulares por ser antigos</t>
  </si>
  <si>
    <t>Nem sempre todos pensam iguais</t>
  </si>
  <si>
    <t xml:space="preserve">Gostariamos de cursos com profissionais capacitados para assuntos de comércio,  por muitas vezes as reuniões que se fazem para melhorar algo nao é focada apenas nesss assunto sendo abordado assuntos desnecessário  ou ate mesmo constrangimento </t>
  </si>
  <si>
    <t>Um ramo no qual me sinto bem em fazer parte</t>
  </si>
  <si>
    <t xml:space="preserve">Todos aqui sao pessoas diferentes uns simpatizam mais que outros </t>
  </si>
  <si>
    <t xml:space="preserve">Ja saiu pessoas maravilhosas que acrescentavam e por motivos pessoais envolvidos quem estava treinando nao teve paciência enquanto a pessoa estava em tempo de  aprendizado </t>
  </si>
  <si>
    <t>Demonstra porem algumas vezes nao nos sentimos ajudados quando necessitamos é muita justificativa de nao da certo dessa forma do que encontrar um meio melhor ja de cara.</t>
  </si>
  <si>
    <t>Chamada de atenção as vezes de forma que ele se expressa no olhar com uma furia</t>
  </si>
  <si>
    <t xml:space="preserve">Ja presenciei formas de falar desnecessárias </t>
  </si>
  <si>
    <t>Porem pouco contato na verdade quase  nada</t>
  </si>
  <si>
    <t>As vezes so enxergam erros</t>
  </si>
  <si>
    <t>Assistência Médica, Auxílio Combustível, Celular, Vale Alimentação, Auxílio Educação, Empréstimo Consignado</t>
  </si>
  <si>
    <t xml:space="preserve">.
</t>
  </si>
  <si>
    <t xml:space="preserve">O comprometimento com o funcionário 
A dinâmica mensais 
</t>
  </si>
  <si>
    <t xml:space="preserve">Melhoria do vale combustível e alimentação </t>
  </si>
  <si>
    <t xml:space="preserve">Acredito que poderiam haver mais treinamentos que abrangem todos os setores. </t>
  </si>
  <si>
    <t>Acredito que há cargos que os salários podem ser melhorados.</t>
  </si>
  <si>
    <t xml:space="preserve">É necessário criação de um canal anônimo de comunicação. </t>
  </si>
  <si>
    <t xml:space="preserve">Acredito que possa haver mais clareza em alguns processos. </t>
  </si>
  <si>
    <t>Acredito que outros setores como a manutenção deveriam ter comemoração de metas como outros setores tem.</t>
  </si>
  <si>
    <t>Assistência Médica, Assistência Odontológica, Multibenefícios Alimentação/ Refeição, Gympass (Convênio Academias), Day Off</t>
  </si>
  <si>
    <t>União entre os setores, ambiente respeitoso com todos e gestores acessíveis.</t>
  </si>
  <si>
    <t>Espaço físico, flexibilidade de horários e implementação de modelo de trabalho híbrido.</t>
  </si>
  <si>
    <t xml:space="preserve">A implantação de gympass nos benefícios. </t>
  </si>
  <si>
    <t>Sempre fui tratado com muito respeito.</t>
  </si>
  <si>
    <t>As pessoas tem boas relações porque os chefes são acessíveis e tranquilos, mas não porque estão procurando promoção dessa forma.</t>
  </si>
  <si>
    <t>Acredito que todo lugar vai ter um pouco de fofoca.</t>
  </si>
  <si>
    <t>No meu setor eu não vejo isso.</t>
  </si>
  <si>
    <t>Uma das melhores empresas em que trabalhei.</t>
  </si>
  <si>
    <t>Assistência Médica, Auxílio Combustível, Vale Refeição, Vale Alimentação, Gympass (Convênio Academias)</t>
  </si>
  <si>
    <t>Eu acho interessante um gympass</t>
  </si>
  <si>
    <t>Cultura da empresa é um ponto muito forte
Diretores pacientes e acessíveis 
Bons colegas de trabalho</t>
  </si>
  <si>
    <t>Acredito que plano de saúde poderia melhorar e descontar um pouco menos, só isso mesmo.</t>
  </si>
  <si>
    <t>Só os parabéns pela pesquisa de clima.</t>
  </si>
  <si>
    <t>Na maioria das vezes algumas pessoas apenas fazem aquilo que é pedido ou que está acostumado, ao passar de qualquer responsabilidade rotineira já reclama.</t>
  </si>
  <si>
    <t>Hoje em dia a comunicação e a colaboração é melhor do que já foi a 1 ano, porém sinto falta de alguns colaboradores entenderem que todos os setores fazem a empresa acontecer e por isso todos independente da área de atuação precisam pensar no cliente e nos objetivos que temos para conseguirmos concluir nossas metas e objetivos.</t>
  </si>
  <si>
    <t>Sinto falta de um treinamento específico principalmente para novos colaboradores, nossa área de atuação é muito específica e muitas vezes o profissional não vem preparado e nem com o mínimo de conhecimentos sobre equipamentos, seria uma alternativa criar um tipo de treinamento sobre equipamentos para novos colaboradores.</t>
  </si>
  <si>
    <t>Já melhorou bastante desde que abrimos a unidade, mas conhecendo o mercado ainda não chegamos no mesmo padrão salarial.</t>
  </si>
  <si>
    <t>Normalmente quando precisamos sugerir ou reivindicar precisamos falar com o gerente da unidade, o que poderia acabar sobrecarregando com algo que poderia ser falado diretamente para os setores responsáveis. Seria interessante ser criado um tipo de canal de sugestões e idéias a qual os colaboradores poderiam dar sugestões de melhorias, fazer reivindicações e até expressar idéias.</t>
  </si>
  <si>
    <t>Em todas as conversas que temos ele sempre me instrui naquilo que espera e também almeja para mim profissionalmente, me dando sempre sugestões e feedbacks no que posso melhorar para ser uma boa profissional e crescer na empresa.</t>
  </si>
  <si>
    <t>Em todas as vezes que precisei de ajuda com algo pessoal, ou fiquei doente ou algo relacionado, sempre vi que ele se mostrava prestativo em ajudar e genuinamente preocupado com meu bem estar.</t>
  </si>
  <si>
    <t>Eu concordo, porém as vezes eu sinto falta de uma escuta mais ativa, sem interrupções e de tentar realmente entender o que estamos tentando explicar ou dar de idéia.</t>
  </si>
  <si>
    <t>Existe nos setores em específico, mas sinto falta do sentimento de equipe geral.</t>
  </si>
  <si>
    <t>Temos fácil acesso para falar e até dar ideias, mas tenho a sensação de que as ideias não são genuinamente aceitas de forma positiva e nem ouvidas com atenção para tentar entender o que temos a dizer, como se o que dizemos até é ouvido no momento, mas logo após já é esquecido sem dar devida atenção.</t>
  </si>
  <si>
    <t xml:space="preserve">Há muita coisa pra melhorar ainda, mas já evoluímos bastante </t>
  </si>
  <si>
    <t>Nenhum lugar é perfeito, mas independente de tudo isso, a Nordeste é ótimo lugar para se trabalhar, gosto do meu trabalho e das pessoas com quem convivo mesmo com seus defeitos.</t>
  </si>
  <si>
    <t>Assistência Médica, Auxílio Combustível, Multibenefícios Alimentação/ Refeição, Auxílio Educação, Gympass (Convênio Academias)</t>
  </si>
  <si>
    <t>Ambiente de trabalho, comunicação com a liderança e o reconhecimento aos colaboradores.</t>
  </si>
  <si>
    <t>Melhoria na gestão de pessoas por parte da diretoria em relação a comunicação mais assertiva e escuta mais ativa, melhor suporte da parte administrativa (financeiro, contábil, comercial...), treinamentos específicos e bem organizados.</t>
  </si>
  <si>
    <t>Nada mais a pontuar</t>
  </si>
  <si>
    <t>Agenda é fundamental para organização e planejamento do dia e ainda não recebemos.</t>
  </si>
  <si>
    <t>A maioria sim.</t>
  </si>
  <si>
    <t>Diversas outras empresas do mesmo seguimento tem remunerações maiores, mas o que mais pesa na Nordeste realmente é bom relacionamento na empresa e com os seus diretores.</t>
  </si>
  <si>
    <t>O acolhimento da Nordeste realmente é diferenciado.</t>
  </si>
  <si>
    <t>Concordo, mas na maioria das vezes em que são “deixadas” sugestões elas são rebatidas mostrando que não fazem sentido.</t>
  </si>
  <si>
    <t>Novas decisões ou diretrizes só são comunicadas.</t>
  </si>
  <si>
    <t>Depende muito do dia e da situação.</t>
  </si>
  <si>
    <t>É um processo de construção constante, mas existe bastante divergência.</t>
  </si>
  <si>
    <t>Há muita divergência.</t>
  </si>
  <si>
    <t>Existem algumas piadas com terceiros sim</t>
  </si>
  <si>
    <t>Não presenciei.</t>
  </si>
  <si>
    <t>A empresa trabalha muito em equipe.</t>
  </si>
  <si>
    <t>Sim é um lugar para se trabalhar</t>
  </si>
  <si>
    <t>Assistência Médica, Assistência Odontológica, Multibenefícios Alimentação/ Refeição, Auxílio Educação, Seguro de Vida, Gympass (Convênio Academias), Day Off</t>
  </si>
  <si>
    <t>Nada a complementar.</t>
  </si>
  <si>
    <t xml:space="preserve">Organização, bom relacionamento entre setores, bom relacionamento com os diretores </t>
  </si>
  <si>
    <t>Treinamento e desenvolvimento, espaço de trabalho, salário compatível com o mercado.</t>
  </si>
  <si>
    <t xml:space="preserve">Pessoal acomodado , so faz o basico fico um pouco preocupado em relaçao a isso !! </t>
  </si>
  <si>
    <t>Porém, para fazer alguma atividades que cabe ao mesmo é  preciso que chame !</t>
  </si>
  <si>
    <t>Sim, e estou buscando melhoras para crescer junto com a empresa!!</t>
  </si>
  <si>
    <t>Nossos lideres nao reconhece !!</t>
  </si>
  <si>
    <t>Gosto do que faço!!</t>
  </si>
  <si>
    <t xml:space="preserve">Eu sou grato pro alguma coisas mais nao tenho orgulho nao , pessoas tende a Ser Falsas </t>
  </si>
  <si>
    <t>Algumas coisas me deixam na obrigaçao de participar, nao e do meu perfil certas coisas que aqui vejo ou faço!</t>
  </si>
  <si>
    <t>O unico canal para esse tipo de situaçao é  essa pesquisa de clima e eu espero que realmente  fucione!</t>
  </si>
  <si>
    <t>Eu acredito, nosso segmento é  instavel e sao cheio de supresas !!</t>
  </si>
  <si>
    <t>Nao me lembro de ninguem aqui me encorajar am nada !</t>
  </si>
  <si>
    <t xml:space="preserve">Nao sei .. </t>
  </si>
  <si>
    <t>Nao , muitas falhas na LINDERÇA</t>
  </si>
  <si>
    <t xml:space="preserve">Nao vejo ele comentando muito sobre isso nao !! </t>
  </si>
  <si>
    <t>Porem devido algumas falha dele , as conversas e reividicaçoes nao sao cumpridas .</t>
  </si>
  <si>
    <t>Nao , nao vejo isso aqui.</t>
  </si>
  <si>
    <t>Nao é  sempre !</t>
  </si>
  <si>
    <t>Sim, mais é necessario que haja um acompanhamento , ja que se faz necessario !!</t>
  </si>
  <si>
    <t>Ha sempre uma que tem um tratamento diferente !</t>
  </si>
  <si>
    <t>Muitas falhas nesse tipo de tarefa!</t>
  </si>
  <si>
    <t>Nao , fala mais nao faz !!</t>
  </si>
  <si>
    <t>Nao , nao vou generalizar mais muitas aqui nao tem sentimos pelos outros !!</t>
  </si>
  <si>
    <t>Muita idividualismo.</t>
  </si>
  <si>
    <t xml:space="preserve">So so fazem escondido! </t>
  </si>
  <si>
    <t xml:space="preserve">Nao , ainda fexados para alguns assuntos </t>
  </si>
  <si>
    <t xml:space="preserve">Muita, bastante muitas vezes parte ate de pessoas a Cima de voce </t>
  </si>
  <si>
    <t>Vejo sim, e isso me encomoda</t>
  </si>
  <si>
    <t>Tenho  certeza que boas coisas estao por vim..</t>
  </si>
  <si>
    <t>Nao , vejo muito cada um no seu !!</t>
  </si>
  <si>
    <t>Com alguma coisas a serem corregidas , mais sim digo que é  um bom lugar pra trabalhar !!</t>
  </si>
  <si>
    <t>Assistência Médica, Auxílio Combustível, Vale Alimentação, Auxílio Educação, Day Off</t>
  </si>
  <si>
    <t>Comprpmisso, atençao com colaborador, e abertas a ideias .</t>
  </si>
  <si>
    <t>Mais firmeza dos lideres e compromisso por parte da alguns colabordores .</t>
  </si>
  <si>
    <t xml:space="preserve">Eu gosto do meu ambiente de trabalho, pois me sinto beme me sinto leve para realizar minhas atividades </t>
  </si>
  <si>
    <t>Todos os equipamentos que preciso tenho para realizar meu trabalho</t>
  </si>
  <si>
    <t xml:space="preserve">Sim com certeza </t>
  </si>
  <si>
    <t xml:space="preserve">Sim, pois o meu trabalho tem um grande significado pra mim, e não e só mais um trabalho </t>
  </si>
  <si>
    <t xml:space="preserve">Sim, sempre fazemos apresentação </t>
  </si>
  <si>
    <t xml:space="preserve">Me sinto bem no meu ambiente de trabalho, pois não me sinto afadigado com minhas atividades, e não preciso fingir ser alguém que não sou </t>
  </si>
  <si>
    <t>Sim, sei quem e meu líder</t>
  </si>
  <si>
    <t xml:space="preserve">Sei o que ele espera, ele espera resultados positivos, eficiência e agilidade no trabalho </t>
  </si>
  <si>
    <t xml:space="preserve">Sempre uma pessoa comprometida com o trabalho, interessado, e empenhado com o crescimento 📈 da empresa e tem uma visão clara do futuro e sabe o que quer para si, e para os demais </t>
  </si>
  <si>
    <t xml:space="preserve">Meu líder e honesto, tem uma boa conduta, um bom caráter para lidar com os negócios da empresa e sempre e transparente </t>
  </si>
  <si>
    <t xml:space="preserve">Meu líder não só me vê como um simples funcionário, pois me vê além do que um funcionário, pois me vê como um um amigo e não só como funcionário </t>
  </si>
  <si>
    <t xml:space="preserve">Sim, pois o que precisamos o que ele sempre está aqui pra nós estender a mão e propor soluções para cada tipo de situação </t>
  </si>
  <si>
    <t xml:space="preserve">Sim, sempre nos instrui nos mostrando o caminho certo para o que devemos fazer, onde estamos errando para que não erre mais, como um bom pastor que guia as ovelhas </t>
  </si>
  <si>
    <t xml:space="preserve">Sim, pois sempre está apto para ouvir nossas ideias de melhoria e sempre melhora nossas ideias </t>
  </si>
  <si>
    <t xml:space="preserve">Sim pois todos os assuntos que nos convém saber ele está sempre nos deixando por dentro sempre </t>
  </si>
  <si>
    <t xml:space="preserve">Sim, pois ele confia no nosso trabalho isso e o que um elo de confiança que temos, confiança e base de tudo sem isso o trabalho não rende, o trabalho não sai legal então confiança e tudo </t>
  </si>
  <si>
    <t xml:space="preserve">Sim, pois ele não passa a mão na cabeça de ninguém, pois ele prática a justiça ⚖️♎ para todos </t>
  </si>
  <si>
    <t xml:space="preserve">Sim, vejo meu linder dar autonomia para as pessoas, eu acho isso muito importante </t>
  </si>
  <si>
    <t xml:space="preserve">Sim, pois age da forma como fala </t>
  </si>
  <si>
    <t xml:space="preserve">Ele está sempre dando feedback, tá sempre chamando a gente pra dar opinião, falando como podemos agir pra melhorar como funcionário </t>
  </si>
  <si>
    <t xml:space="preserve">Sim,. existe pois estamos sempre tentando ajudar uns aos outros </t>
  </si>
  <si>
    <t xml:space="preserve">Sim, pois eu só acho que devíamos melhorar um pouco no valor, pois acho muito pouco para nossa região </t>
  </si>
  <si>
    <t xml:space="preserve">Discordo pois não vejo isso entre nós </t>
  </si>
  <si>
    <t xml:space="preserve">Sou sim, independente da minha posição de trabalho </t>
  </si>
  <si>
    <t xml:space="preserve">Sim, pois meu lugar de trabalho e bom pra trabalhar e leve </t>
  </si>
  <si>
    <t xml:space="preserve">Não vejo entre nós </t>
  </si>
  <si>
    <t xml:space="preserve">Sim com certeza por muito tempo se Deus permitir </t>
  </si>
  <si>
    <t>....</t>
  </si>
  <si>
    <t xml:space="preserve">Sim concordo plenamente </t>
  </si>
  <si>
    <t>Assistência Médica, Celular, Refeição na Empresa, Seguro de Vida, Empréstimo Consignado, Gympass (Convênio Academias)</t>
  </si>
  <si>
    <t>..</t>
  </si>
  <si>
    <t>Reconhecimento profissional.
Benefícios 
...</t>
  </si>
  <si>
    <t>Eu acho que devíamos ter uma ouvidoria para ouvir nossas queixas reclamações, acho que e importante em questão ao salário e pago muito tarde eu acho que seja um ponto de melhoria para melhorara e pagar pela manhã</t>
  </si>
  <si>
    <t xml:space="preserve">Eu acho que deviam ser pergunta melhores, e menos perguntas pois tem muitas perguntas </t>
  </si>
  <si>
    <t>Salários um pouco a baixo do mercado, incluindo ticket.</t>
  </si>
  <si>
    <t>Falando por mim próprio, eu sempre venho com vontade e disposição para trabalhar, os meus colegas eu já não sei, aparentemente sim, alguns.</t>
  </si>
  <si>
    <t>Na unidade de São Luís o gestor está sempre aberto a ouvir os colaboradores e sempre fazendo feedbacks para tratar assuntos de melhorias para a equipe.</t>
  </si>
  <si>
    <t>Em partes sim em partes não, muitas vezes tem aquela olhada no sistema de monitoramento, mas nada prejudicial. Acredito que seja normal em todas as empresas.</t>
  </si>
  <si>
    <t>Ambiente legal, com pessoas boas, competentes, companheiras, etc.</t>
  </si>
  <si>
    <t>Assistência Médica, Auxílio Combustível, Multibenefícios Alimentação/ Refeição, Seguro de Vida, Day Off</t>
  </si>
  <si>
    <t>Poderia ter mais que cinco opções!</t>
  </si>
  <si>
    <t>Reconhecimento de profissionais, ambiente leve, valorização.</t>
  </si>
  <si>
    <t>Valorização de salários, valorização de ticket, treinamentos adequados com nossas marcas parceiras (todas).</t>
  </si>
  <si>
    <t>Nada além do que já foi observado nos comentários.</t>
  </si>
  <si>
    <t xml:space="preserve">Em relação a área da manutenção, já vi que em outras locadoras o salário é mais acima do que é pago aqui atualmente </t>
  </si>
  <si>
    <t xml:space="preserve">Discordo pois meu superior imediato seria o supervisor e no caso não temos tanto contato, é uma pessoa ausente no meu cotidiano </t>
  </si>
  <si>
    <t xml:space="preserve">Discordo se tratando da supervisão, me baseio por questão do supervisor demonstrar que não tem tanto interesse em estar mais presente, trazer as melhorias que o setor tem dificuldades </t>
  </si>
  <si>
    <t xml:space="preserve">Discordo pois já aconteceram situações de ser mais humano e tentar se colocar no lugar do colaborador, faltou empatia </t>
  </si>
  <si>
    <t xml:space="preserve">Discordo pois, setores comercias e financeiros atingem suas metas de locações, mas tudo aqui é uma engrenagem todos colaboram para que essas metas sejam batidas, porém sempre é apenas um setor específico que vai comemorar </t>
  </si>
  <si>
    <t xml:space="preserve">Concordo pois já presenciei pessoas perto de gestores agindo dessa maneira </t>
  </si>
  <si>
    <t xml:space="preserve">Discordo pois geralmente falamos com intermediários </t>
  </si>
  <si>
    <t xml:space="preserve">Concordo por conta do evento de destaque do mês, acaba muitas vezes trazendo um pouco de rivalidade, acredito que seria melhor achar um evento que conseguisse unir mais as pessoas </t>
  </si>
  <si>
    <t>Discordo em questão de benefícios, não chegar a ser ótimo, pois a empresa não ajuda quem tem transporte próprio a chegar na empresa, o plano de saúde é caro para o salário que recebemos</t>
  </si>
  <si>
    <t>Assistência Médica, Auxílio Combustível, Multibenefícios Alimentação/ Refeição, Cesta Básica, Seguro de Vida</t>
  </si>
  <si>
    <t xml:space="preserve">Auxílio combustível é algo que é essencial pois geralmente corresponde a 20% do que recebemos, ainda mais pra quem mora mais distante da empresa, acaba que o colaborador paga para trabalhar em certas partes 
Sobre o seguro de vida é essencial, pois realizamos manutenções externas de moto e corremos grandes riscos na estrada, não só pela nossa condução mais também por depender dos outros condutores ao redor e a empresa simplesmente não dá nem uma assistência quanto a isso, somos responsáveis por tudo, moto, multa, nossa segurança e não recebemos nada em troca disso </t>
  </si>
  <si>
    <t xml:space="preserve">Ambiente agradável 
Ferramentas de trabalho 
Colaboradores com vontade de ajudar </t>
  </si>
  <si>
    <t xml:space="preserve">Banheiros 
Segurança em questão de o portão sempre estar aberto e não ter ninguém para mapear quem está entrando e saindo da empresa 
Estacionamento com Proteção de sol para as motos e segurança dos transportes dos colaboradores </t>
  </si>
  <si>
    <t xml:space="preserve">A principal dor atualmente é sobre o custo para chegar na empresa, peço encarecidamente que isso seja bem revisto e que consigam a melhor solução para melhorar a vontade dos colaboradores e o ambiente do trabalho, e sobre a liderança acredito que eles deveriam lutar mais pra trazer mais melhorias para o setor, o supervisor poderia ser mais presente </t>
  </si>
  <si>
    <t>Por não receber mas treinamento.</t>
  </si>
  <si>
    <t>Tem pessoas boa para trabalha.</t>
  </si>
  <si>
    <t>Assistência Médica, Auxílio Combustível, Multibenefícios Alimentação/ Refeição, Auxílio Educação, Seguro de Vida</t>
  </si>
  <si>
    <t>Ok</t>
  </si>
  <si>
    <t>Ambinte de trabalho, reconhecimento, valorização</t>
  </si>
  <si>
    <t>Mais treinamento, valorização de salario,valorização do ticket.</t>
  </si>
  <si>
    <t>Tudo que comentei é minha opinião</t>
  </si>
  <si>
    <t>Nem sempre, acredito que às vezes falta um pouco de motivação.</t>
  </si>
  <si>
    <t xml:space="preserve">Desde que entrei na Nordeste, aproximadamente um ano, ainda não vi a empresa fornecer treinamentos, tanto na parte operacional, como quanto aos conhecimentos do sistema utilizado. A aprendizagem é somente através da vivência ou de um outro colaborador que, nem sempre tem toda a disponibilidade para ensinar da melhor forma. </t>
  </si>
  <si>
    <t>Percebo que a disponibilidade de mão de obra em São Luís é bem escassa para este segmento e, devido a isso, ao encontrar um colaborador que se adeque às necessidades da empresa, o ideal seria uma remuneração mais adequada.</t>
  </si>
  <si>
    <t>Gosto de trabalhar “processos”, a soma disso com o ambiente agradável e as possibilidades de crescimento me fazem concordar.</t>
  </si>
  <si>
    <t>Normalmente, quando a correria tá grande, nem dá tempo de pensar nessa receptividade. Normalmente o que acontece é o convívio do dia a dia que vai sendo estabelecido.</t>
  </si>
  <si>
    <t>Nem sempre. Respondi anteriormente que gosto de trabalhar com processos estabelecidos. Quando isso não acontece, sinto que não estou fazendo a coisa certa, mesmo que isso seja em prol de algo benéfico para a meta. Processo é processo.</t>
  </si>
  <si>
    <t>Não há. Deveria ter.</t>
  </si>
  <si>
    <t>É nítido nos feedbacks.</t>
  </si>
  <si>
    <t>Nem sempre. Mas acredito que realmente seja pensando em algo que no momento não está sendo visível por quem tenta tomar uma determinada decisão.</t>
  </si>
  <si>
    <t>Nunca presenciei alguma situação desse tipo.</t>
  </si>
  <si>
    <t xml:space="preserve">Nem todo mundo. Algumas pessoas não estão preocupadas apenas em “fazer o seu” e ir embora. </t>
  </si>
  <si>
    <t xml:space="preserve">Certas atitudes me fazem pensar que sim. </t>
  </si>
  <si>
    <t>Não há.</t>
  </si>
  <si>
    <t>Acredito que isso depende da motivação. Isso vai de acordo com o quanto sou reconhecido na empresa. Obviamente…Eu sendo aquele cara que se esforça para ser reconhecido. É um fator determinante sobre o desejo de permanência de qualquer colaborador. Perspectivas de crescimento</t>
  </si>
  <si>
    <t>Vejo que o ambiente leve faz com que até mesmo as preocupações do dia a dia se relevem, se tornando mais simples a resolução de vários problemas.</t>
  </si>
  <si>
    <t>Assistência Médica, Assistência Odontológica, Vale Alimentação, Gympass (Convênio Academias), Day Off</t>
  </si>
  <si>
    <t>Day off! Kk</t>
  </si>
  <si>
    <t>Possibilidades de crescimento dentro da empresa; ambiente leve; comunicação com lideranças.</t>
  </si>
  <si>
    <t xml:space="preserve">Melhoria na possibilidade de solicitações e reivindicações; melhoria na acessibilidade de acompanhamento psicológico; disponibilização de treinamentos em geral. </t>
  </si>
  <si>
    <t xml:space="preserve">Gostaria de reforçar sobre a questão da disponibilidade de treinamentos, pois acredito que isso contribuiria positivamente com a confiança/segurança do próprio colaborador com qualquer que seja o procedimento relacionado à sua área de atuação na empresa. </t>
  </si>
  <si>
    <t xml:space="preserve">Acredito que podemos trabalhar melhor nas pessoas o espírito de ajuda entre áreas, e colaboração dentro da equipe com intuito de gerar uma melhor ajuda nas atividades. </t>
  </si>
  <si>
    <t>Acredito que possamos deixar mais claro para todos quais os objetivos de futuro da empresa.</t>
  </si>
  <si>
    <t>Acredito que podemos ter um processo de promoção e reconhecimento mais claro, para que as pessoas possam buscar alcançar.</t>
  </si>
  <si>
    <t>Conheço pessoas com as mesmas funções em empresas do mesmo seguimento, que possuem salários bem superiores.</t>
  </si>
  <si>
    <t xml:space="preserve">É confuso se de fato existem esses canais. </t>
  </si>
  <si>
    <t>Acredito que poderia ter um olhar mais humanizado.</t>
  </si>
  <si>
    <t>Acho que poderia ter feedbacks frequentes</t>
  </si>
  <si>
    <t>Acredito que falta um pouco de ação, sobre novas ideias.</t>
  </si>
  <si>
    <t xml:space="preserve">Acho que falta deixar mais claro qual objetivo da empresa pro futuro. </t>
  </si>
  <si>
    <t xml:space="preserve">Acho que tem pessoas que possuem relacionamento pessoal e isso acaba afetando. </t>
  </si>
  <si>
    <t xml:space="preserve">Vejo incoerência entre fale e ações </t>
  </si>
  <si>
    <t>Nunca vivi e nem presenciei nada.</t>
  </si>
  <si>
    <t xml:space="preserve">Acho que devia ter comemorações sempre que as metas fossem alcançadas. </t>
  </si>
  <si>
    <t>Acredito poder trabalhar para fazer a diferença. Mas poderia ser mais valorizada.</t>
  </si>
  <si>
    <t>Muita</t>
  </si>
  <si>
    <t xml:space="preserve">Acredito que poderia ser melhor integrada as equipes. </t>
  </si>
  <si>
    <t>Assistência Médica, Auxílio Combustível, Multibenefícios Alimentação/ Refeição, Gympass (Convênio Academias), Day Off</t>
  </si>
  <si>
    <t>Auxílio combustível é algo que deveria ser aplicado o mais breve possível. Levando em consideração a quantidade de pessoas que utilizam seu próprio transporte para vim trabalhar. Se todos decidissem vim de ônibus a empresa não teria que arcar? Então fica a sugestão para que busquem isso, pois seria algo muito atrativo para todos. E a empresa só tem a ganhar</t>
  </si>
  <si>
    <t>Ambiente jovem, cultura presente, bons profissionais</t>
  </si>
  <si>
    <t>Reconhecimento, comunicação, evitar relacionamentos pessoais</t>
  </si>
  <si>
    <t xml:space="preserve">Acredito que a empresa possa buscar melhorias contínuas, sempre ouvindo as pessoas e tomando uma ação sobre isso. Ouvir as críticas, e sugestões para que possam criar ações futuras. </t>
  </si>
  <si>
    <t xml:space="preserve">Solicito algumas melhorias no ambiente de trabalho </t>
  </si>
  <si>
    <t>Má qualidade do epi(bota,capacete,entre outros)</t>
  </si>
  <si>
    <t xml:space="preserve">A empresa necessita de treinamentos para os funcionários </t>
  </si>
  <si>
    <t>Sim,é um bom ambiente de trabalho</t>
  </si>
  <si>
    <t>Assistência Médica, Assistência Odontológica, Auxílio Combustível, Refeição na Empresa, Multibenefícios Alimentação/ Refeição, Cesta Básica, Seguro de Vida, Gympass (Convênio Academias)</t>
  </si>
  <si>
    <t xml:space="preserve">Mais benefícios para os funcionários </t>
  </si>
  <si>
    <t xml:space="preserve">Boá relação interpessoal entre os funcionários </t>
  </si>
  <si>
    <t xml:space="preserve">Benefícios para os funcionários </t>
  </si>
  <si>
    <t>Isso é tudo!!</t>
  </si>
  <si>
    <t>Clima agradável, sintonia da equipe em crescimento da empresa</t>
  </si>
  <si>
    <t>Assistência Médica, Multibenefícios Alimentação/ Refeição, Auxílio Educação, Empréstimo Consignado, Gympass (Convênio Academias)</t>
  </si>
  <si>
    <t>Comunicação com a Diretoria, Clima interno e Benefícios</t>
  </si>
  <si>
    <t>Mais benefícios, Trilha clara para crescimento interno</t>
  </si>
  <si>
    <t>*</t>
  </si>
  <si>
    <t>Algumas pessoas são muito acomodadas, não tem a pró-atividade e nem muito menos disponibilidade de ajudar o próximo ou fazer atividades além de suas obrigações.</t>
  </si>
  <si>
    <t xml:space="preserve">Nem todos, alguns fazem o mínimo </t>
  </si>
  <si>
    <t>Os treinamentos poderiam se expandir para todos, principalmente para os serviços gerais.</t>
  </si>
  <si>
    <t xml:space="preserve">Nem todos os colaboradores são reconhecidos ou dado a oportunidade de crescimento. </t>
  </si>
  <si>
    <t>O salário é o base, o que diferencia são os benefícios.</t>
  </si>
  <si>
    <t xml:space="preserve">Passam os maus hábitos, como fofoca ou buscam induzem a não se esforçar, pois não terão reconhecimento no final. </t>
  </si>
  <si>
    <t>Alguns se sentem desmotivados</t>
  </si>
  <si>
    <t>Você acaba mandando a sua personalidade para entrar/ser aceito no "grupo"</t>
  </si>
  <si>
    <t xml:space="preserve">Não tem, o líder não toma ação para mudar um cenário ou ocorrido que gerou desconforto. Logo alguns preferem não falar ou tem medo de repassar para a direção </t>
  </si>
  <si>
    <t xml:space="preserve">Pelo líder não, por outras pessoas </t>
  </si>
  <si>
    <t xml:space="preserve">Quando se trata de gestão das pessoas, deixa a desejar. </t>
  </si>
  <si>
    <t xml:space="preserve">Apenas trabalho </t>
  </si>
  <si>
    <t xml:space="preserve">Falta ação para tomar decisão quando surge um desconforto no time </t>
  </si>
  <si>
    <t xml:space="preserve">Não tem treinamento </t>
  </si>
  <si>
    <t xml:space="preserve">Não tem, alguma pessoas são acomodadas </t>
  </si>
  <si>
    <t xml:space="preserve">Falta ação para melhoria </t>
  </si>
  <si>
    <t xml:space="preserve">Alguns pensam que tem preferência/apreço em um colaborador problemático </t>
  </si>
  <si>
    <t xml:space="preserve">Deixa todos muito a vontade </t>
  </si>
  <si>
    <t xml:space="preserve">Mas nem todos sabem se direcionaram sem sozinhos </t>
  </si>
  <si>
    <t>"Passa a mão" na cabeça ou "fecha os olhos" para muitas coisas erradas dentro da empresa</t>
  </si>
  <si>
    <t xml:space="preserve">O que é feito com um não é feito com o outro, desfavorecomento </t>
  </si>
  <si>
    <t xml:space="preserve">Quando fica nervoso não sabe dosar as palavras </t>
  </si>
  <si>
    <t xml:space="preserve">Apenas se interferir com o seu trabalho </t>
  </si>
  <si>
    <t xml:space="preserve">Alguns buscam união, outros fazer apenas a sua parte </t>
  </si>
  <si>
    <t xml:space="preserve">Não identifiquei </t>
  </si>
  <si>
    <t xml:space="preserve">Sem moderação, os colaboradores não sabem viver em harmonia </t>
  </si>
  <si>
    <t xml:space="preserve">No comercial e entre os mecânicos </t>
  </si>
  <si>
    <t xml:space="preserve">Caso outra empresa me oferecer um emprego com uma melhor remuneração e a Nordeste não valorizar o meu desempenho, aceitarei a proposta. </t>
  </si>
  <si>
    <t>Os colaboradores mais novo têm um bom entrosamento,  os antigos são acomodados</t>
  </si>
  <si>
    <t>Assistência Médica, Multibenefícios Alimentação/ Refeição, Gympass (Convênio Academias), Day Off, Trabalhar ate quinta</t>
  </si>
  <si>
    <t>Os diretores são próximos dos colaboradores 
A empresa sempre trás ações diferentes 
Busca um trabalho mais harmonioso</t>
  </si>
  <si>
    <t xml:space="preserve">A colaboração dos colaboradores 
Os colaboradores ser mais eficientes ou ter um controle mais rigoroso nas atividades para não deitar tão a vontade e acabar perdendo o controle 
Ter um espaço melhor para o descanso </t>
  </si>
  <si>
    <t xml:space="preserve">Os diretores precisão ser mais presentes nas filias, pois acaba que os colabores fazem o que acham ser o certo e não tem a orientação correta. </t>
  </si>
  <si>
    <t xml:space="preserve">Nao, poderia ser mais valorizado </t>
  </si>
  <si>
    <t xml:space="preserve">Não existe, poderiam procurar um meio de melhorar isso </t>
  </si>
  <si>
    <t xml:space="preserve">Nunca me aconteceu </t>
  </si>
  <si>
    <t xml:space="preserve">Nunca percebi isso </t>
  </si>
  <si>
    <t xml:space="preserve">Nunca reparei nisso </t>
  </si>
  <si>
    <t xml:space="preserve">acredito que não </t>
  </si>
  <si>
    <t xml:space="preserve">Dependendo das oportunidades </t>
  </si>
  <si>
    <t xml:space="preserve">É um local tranquilo e confortável </t>
  </si>
  <si>
    <t xml:space="preserve">Trabalho em equipe, organização e ambiente saudável </t>
  </si>
  <si>
    <t>Modelo de trabalho híbrido poderia melhorar a qualidade de vida de colaboradores que conseguem fazer seu trabalho de casa/ Melhoria de Benefícios/ Criar um plano de carreira claro para os colaboradores poderem ver as oportunidades de crescimento dentro da empresa/ Tornar mais confortável a sala de descanso dos colaboradores</t>
  </si>
  <si>
    <t>Assistência Médica, Assistência Odontológica, Auxílio Combustível, Multibenefícios Alimentação/ Refeição, Kit Baby, Day Off, Auxilio familia.</t>
  </si>
  <si>
    <t xml:space="preserve">Apenas isso </t>
  </si>
  <si>
    <t>Vontade em ajudar principalmente quem é novato, ambiente alto astral promovendo sextou e outras atividades, a facilidade de acesso aos lideres e donos da empresa pois estao sempre disponiveis a conversar.</t>
  </si>
  <si>
    <t>Area de descanso maior e mais ventilada, auxilio combustivel pois acredito que 80% dos funcionarios nao usam vale transporte, cantina mais bem equipada com assentos melhores e ventilacao melhor.</t>
  </si>
  <si>
    <t>Apenas agradecer pois é uma empresa que faz a diferença e promove um ambiente agradavel de se trabalhar, alem das oportunidades oferecidas buscando crescimento dos proprios funcionarios e nao de quem é de fora.</t>
  </si>
  <si>
    <t xml:space="preserve">Meus gestores sempre nos auxiliam com nosso crescimento </t>
  </si>
  <si>
    <t xml:space="preserve">É nítido como a empresa abraça o novo funcionário e faz com que tenhamos uma boa recepção </t>
  </si>
  <si>
    <t xml:space="preserve">Essa atitude não condiz com a empresa, pelo contrário, todos somos muito bem tratados </t>
  </si>
  <si>
    <t>Assistência Médica, Assistência Odontológica, Auxílio Combustível, Multibenefícios Alimentação/ Refeição, Gympass (Convênio Academias)</t>
  </si>
  <si>
    <t xml:space="preserve">1- Ambiente agradável de se trabalhar 
2- Poder sempre contar com a gestão e opinar para melhorias 
</t>
  </si>
  <si>
    <t xml:space="preserve">1- Local de descanso 
2 - Não ter divisão(anexo), acho que isso acaba separando um pouco os colaboradores </t>
  </si>
  <si>
    <t xml:space="preserve">No geral é uma empresa boa de se trabalhar e vejo o empenho da gestão em tornar a empresa um exemplo </t>
  </si>
  <si>
    <t xml:space="preserve">Gostaria que melhorase mas nos benefícios </t>
  </si>
  <si>
    <t>Auxílio Combustível, Multibenefícios Alimentação/ Refeição, Auxílio Educação, Empréstimo Consignado, Gympass (Convênio Academias)</t>
  </si>
  <si>
    <t xml:space="preserve">Gostaria desses benefícios </t>
  </si>
  <si>
    <t xml:space="preserve">Transparência  salário em dias  reconhecimento </t>
  </si>
  <si>
    <t xml:space="preserve">Salário benefício  muck </t>
  </si>
  <si>
    <t xml:space="preserve">Gostaria que melhorase nos benefícios </t>
  </si>
  <si>
    <t>Dentro do período que estou na empresa ainda não teve oportunidade de treinamentos para meu setor.</t>
  </si>
  <si>
    <t xml:space="preserve">Salário está abaixo que o ofertado dentro do mercado de trabalho hoje. </t>
  </si>
  <si>
    <t xml:space="preserve">O se sentir bem-vindo vai além do dizer um “bem-vindo, sucesso!”, ele vai dizer mesmo no dia a dia. E já presenciei momentos em que colaborador novato talvez se sentiu desconfortável com a maneira que estava sendo tratado naquele momento. </t>
  </si>
  <si>
    <t xml:space="preserve">Nunca presenciei essa atitude do meu líder. </t>
  </si>
  <si>
    <t xml:space="preserve">Não presenciei até o momento essa atitude. </t>
  </si>
  <si>
    <t>Pelo contrário sinto um clima de ajuda mútua.</t>
  </si>
  <si>
    <t xml:space="preserve">Já fui tratado de forma arrogante em outro setor, na frente de todos que lá estavam. </t>
  </si>
  <si>
    <t>Gosto do clima leve do meu setor em trabalhar, a forma como meu líder faz os feedbacks conosco e como a diretoria é acessível a todos os colaboradores.</t>
  </si>
  <si>
    <t>A porcentagem de desconto do plano de saúde poderia ser negociado para ser menor.</t>
  </si>
  <si>
    <t>Diretoria acessível/oportunidade de crescimento/Clima leve para trabalhar.</t>
  </si>
  <si>
    <t xml:space="preserve">Benefício de plano de saúde ter um desconto menor em folha de pagamento/Salário competitivo com Mercado/treinamentos específico para cada setor. </t>
  </si>
  <si>
    <t>Existem diferentes formas de reconhecimento. Acredito que no meu setor existe o reconhecimento pelo trabalho realizado em forma feedbacks, mas não em forma salarial e ausência metas bem definidas para a obtenção da melhoria.</t>
  </si>
  <si>
    <t>Jamais.</t>
  </si>
  <si>
    <t>Na verdade não existe meta para o meu setor. Mas eventos gerais da empresa são ótimos e inclusivos.</t>
  </si>
  <si>
    <t>Não que eu conheça.</t>
  </si>
  <si>
    <t>Existe em toda e qualquer organização. Seja positiva ou negativa.</t>
  </si>
  <si>
    <t>Não há rivalidade.</t>
  </si>
  <si>
    <t>Ótimo lugar para se trabalhar. Se tem amor pelo que se faz aqui!</t>
  </si>
  <si>
    <t>Assistência Odontológica, Auxílio Combustível, Vale Alimentação, Auxílio Educação, Gympass (Convênio Academias)</t>
  </si>
  <si>
    <t>São estes apenas.</t>
  </si>
  <si>
    <t>1 - Forte qualidade na integração de relacionamento entre todos da empresa (setores etc) e ambiente agradável.
2 - Empresa sempre busca inovação, crescimento e liberdade para o colaborador.
3 - Empresa que tem bons eventos e momentos especiais para colaboradores e para datas importantes pra própria empresa.</t>
  </si>
  <si>
    <t>1 - Criteriosidade e mensuração de entregas dos colaboradores para valorização salarial/promocional.
2 - Estabelecer um plano de carreiras
3 - Mais parcerias educacionais para incentivar formação de seus colaboradores</t>
  </si>
  <si>
    <t>Acredito que todos os pontos foram abordados.</t>
  </si>
  <si>
    <t>Assistência Médica, Assistência Odontológica, Auxílio Combustível, Vale Alimentação, Auxílio Educação</t>
  </si>
  <si>
    <t xml:space="preserve">Boa liderança 
Comprometimento 
Visão </t>
  </si>
  <si>
    <t>Poderia melhorar a questão do refeitório, que fica muito próximo ao teto e faz muito calor no momento que seria para relaxar</t>
  </si>
  <si>
    <t xml:space="preserve">É necessário um fardamento mais adequado para todos. A qualidade da blusa é um pouco inferior, e acaba desbotando e ficando com bolinhas muito rápido. Mesmo sendo lavada à mão. Cadeiras apropriadas que não prejudiquem a coluna. </t>
  </si>
  <si>
    <t xml:space="preserve">Precisa ser criado uma pauta de treinamento para novos integrantes, para que eles não se sintam perdidos e facilite esse processo de integração. De repente criar uma “universidade” virtual da própria Nordeste com treinamentos exclusivos para os funcionários, de acordo com o seu cargo </t>
  </si>
  <si>
    <t xml:space="preserve">Nosso gerente sempre conversa sobre as perspectivas de crescimento da empresa, nos trazendo uma visão mais clara do negócio </t>
  </si>
  <si>
    <t xml:space="preserve">Com uma breve pesquisa, consegue-se mensurar a diferença de salário e de benefícios. Empresas ofertam vale alimentação acima do nosso. Possuem vale cultura, gympass, entre outros </t>
  </si>
  <si>
    <t xml:space="preserve">Será interessante a implantação de um canal exclusivo, onde possamos falar diretamente com um psicólogo, por exemplo. E fazer as sugestões e reivindicações necessárias </t>
  </si>
  <si>
    <t>Sempre faz feedbacks nos direcionando da melhor forma</t>
  </si>
  <si>
    <t xml:space="preserve">Nos encoraja sempre q darmos o nosso melhor, para que coincida nosso crescimento profissional com o da empresa </t>
  </si>
  <si>
    <t xml:space="preserve">Em momentos que estamos com algum tipo de dificuldade na vida pessoal, seja por saúde ou não, ele sempre busca entender sobre oq estamos passando </t>
  </si>
  <si>
    <t>Nunca existiu essa situação</t>
  </si>
  <si>
    <t>Nosso gestor não aprova esse tipo de prática e corta qualquer possibilidade da mesma</t>
  </si>
  <si>
    <t xml:space="preserve">Sempre estamos nos ajustando, pois sabemos que o bom trabalho do outro não irá afetar nosso desempenho e reconhecimento </t>
  </si>
  <si>
    <t xml:space="preserve">Concordo, porém precisa avaliar as melhorias citadas </t>
  </si>
  <si>
    <t>Assistência Médica, Auxílio Combustível, Multibenefícios Alimentação/ Refeição, Empréstimo Consignado, Day Off</t>
  </si>
  <si>
    <t xml:space="preserve">São benefícios que deveriam ser implementados </t>
  </si>
  <si>
    <t xml:space="preserve">Transparecia 
Comprometimento 
Reconhecimento </t>
  </si>
  <si>
    <t xml:space="preserve">• Pontualidade nos pagamentos 
• Revisão na forma de pagamento de bônus e comissões, mesmo no atingimento de todas as metas individuais, não é recebido quando  o geral não é batido 
• Melhorar a gestão de pessoas de modo geral, por parte dos gestores da matriz 
</t>
  </si>
  <si>
    <t xml:space="preserve">De modo geral é uma empresa boa de trabalhar. Me sinto confortável e feliz. Porém precisa ser revisado com carinho todos os pontos aqui citados, pois nos afeta e pode acabar criando um ambiente pesado </t>
  </si>
  <si>
    <t xml:space="preserve">Deveria ter um suporte de treinamento, tanto para os colaboradores quanto para as pessoas que entram na empresa.  </t>
  </si>
  <si>
    <t>Todos recebem bem e ajuda no que pode.</t>
  </si>
  <si>
    <t>Mas as segundas feiras é complicado.</t>
  </si>
  <si>
    <t>Deveria melhorar mais os meios de comunicação, poderia ter uma opção de psicólogo para quando tivermos cansados mentalmente poder desabafar, conversar. Ou um canal para ouvir nossas sugestões, ideias ou críticas.</t>
  </si>
  <si>
    <t>É uma pessoa que se dedica e se preocupa ao máximo com os negócios, busca melhorias e soluciona problemas.</t>
  </si>
  <si>
    <t>É uma pessoa que está sempre aberta para ouvir e conversar.</t>
  </si>
  <si>
    <t>Ele nos mantém sempre informados e atualizados.</t>
  </si>
  <si>
    <t>Ele sempre fala dos pontos que devemos melhorar, nos elogia e aconselha a fazer sempre um curso para nos especializar mais.</t>
  </si>
  <si>
    <t>É uma pessoa super gente boa e sempre trata os seus colaboradores bem como se fosse seus filhos.</t>
  </si>
  <si>
    <t>É difícil ter uma comunicação com eles.</t>
  </si>
  <si>
    <t>São umas pessoas super legais, porém não tivemos muito contato.</t>
  </si>
  <si>
    <t>Aqui, o ambiente é bem profissional, e não temos espaço para fofocas.</t>
  </si>
  <si>
    <t>Na verdade, a gente foca em crescer juntos. Não vejo rivalidade entre ninguém, todo mundo se apoia.</t>
  </si>
  <si>
    <t>Tem algumas pessoas que são bem fechadas.</t>
  </si>
  <si>
    <t>A empresa proporciona um ambiente de trabalho positivo, com uma cultura colaborativa, oportunidades de crescimento e respeito pelos funcionários. É um ótimo lugar para desenvolver a carreira.</t>
  </si>
  <si>
    <t>Assistência Médica, Multibenefícios Alimentação/ Refeição, Seguro de Vida, Gympass (Convênio Academias), Day Off</t>
  </si>
  <si>
    <t xml:space="preserve">1- A qualidade dos nossos produtos e serviços
2- Valorização dos funcionários
3- Transparência </t>
  </si>
  <si>
    <t>1- deveria melhorar mais na questão do salário, cair na data certa ( se dia 15 ou 31 cair sábado e domingo), o salário deve cair na sexta feira e pela manhã, o salário cai muito tarde, poderia ser agendado para cair na data certa e pela manhã.
2-  Ter um suporte de treinamento 
3-  deveria ter um curso voltado para cada área da empresa para os colaboradores se especializar mais.</t>
  </si>
  <si>
    <t xml:space="preserve">Não. </t>
  </si>
  <si>
    <t>O objetivo da empresa é crescer e expandir, mas como será feito isso, não se sabe, nem quando que se pretende ser tomado os passos para esse objetivo. Falta transparência neste quesito, além de não haver um melhor preparo da equipe pra receber as novas atribuições e atividades, prejudicando os processos atuais.</t>
  </si>
  <si>
    <t>Poderia ser melhor. Pouco acontece, mas acontece.</t>
  </si>
  <si>
    <t>Está na média.</t>
  </si>
  <si>
    <t>A empresa em si não incentiva a produção do melhor trabalho possível, não existem metas ou recompensas a serem alcançadas. Todo o sentido vem do crescimento individual como profissional para encontrar melhores oportunidades no futuro.</t>
  </si>
  <si>
    <t>É um ponto forte da Nordeste.</t>
  </si>
  <si>
    <t>Obrigações individuais de cada colaborador. Mesmo contexto da resposta 9.</t>
  </si>
  <si>
    <t xml:space="preserve">Desconheço. </t>
  </si>
  <si>
    <t>Independente do que se acredita, se houver necessidade, irá ocorrer.</t>
  </si>
  <si>
    <t>Não acontece.</t>
  </si>
  <si>
    <t>Poderia ser melhor.</t>
  </si>
  <si>
    <t>Provavelmente deve ter, essa visão não é repassada.</t>
  </si>
  <si>
    <t>Devido os recentes cortes, isso ainda está em processo de melhoria.</t>
  </si>
  <si>
    <t>Nunca ocorreu, nem presenciei.</t>
  </si>
  <si>
    <t>As metas foram extintas, por tanto sem comemoração. Eventos especiais sim, todos comemorados, muito bom trabalho por sinal.</t>
  </si>
  <si>
    <t>Tratamento é sempre cordial, mas não observo as afirmações acima citadas.</t>
  </si>
  <si>
    <t>Não observei ainda.</t>
  </si>
  <si>
    <t xml:space="preserve">Apenas se ocorrer oportunidades de crescimento, no momento que perceber que já obtive todo o aprendizado e experiência, devo buscar melhores oportunidades. </t>
  </si>
  <si>
    <t xml:space="preserve">É um bom lugar para se trabalhar, sem dúvidas. </t>
  </si>
  <si>
    <t>Gestão de pessoas, Endomarketing, Liderança assertiva.</t>
  </si>
  <si>
    <t>Implementação do vale combustível, mais transparência com os rumos da empresa, oportunidades de crescimento.</t>
  </si>
  <si>
    <t>Os pontos abordados foram satisfatórios.</t>
  </si>
  <si>
    <t xml:space="preserve">Preciso de um suporte </t>
  </si>
  <si>
    <t>Ele q seu trabalho sai 100%</t>
  </si>
  <si>
    <t xml:space="preserve">Ele deixa as pessoas avontade </t>
  </si>
  <si>
    <t xml:space="preserve">Aqui são todos unidos </t>
  </si>
  <si>
    <t xml:space="preserve">Um lugar muito bom para trabalhar </t>
  </si>
  <si>
    <t xml:space="preserve">Não enzite na empresa </t>
  </si>
  <si>
    <t xml:space="preserve">Um salário sair pela manhã </t>
  </si>
  <si>
    <t>Assistência Médica, Auxílio Combustível, Vale Refeição, Vale Alimentação, Auxílio Educação, Cesta Básica, Seguro de Vida, Kit Baby</t>
  </si>
  <si>
    <t xml:space="preserve">Salário sair pela manhã </t>
  </si>
  <si>
    <t xml:space="preserve">Bom lugar para trabalhar </t>
  </si>
  <si>
    <t xml:space="preserve">Ter um técnico de segurança na empresa </t>
  </si>
  <si>
    <t xml:space="preserve">Precisa ter um fardamento </t>
  </si>
  <si>
    <t xml:space="preserve">Sou feliz de trabalhar na nordeste locação </t>
  </si>
  <si>
    <t>Convênio com Livrarias, Auxílio Combustível, Vale Refeição, Multibenefícios Alimentação/ Refeição, Auxílio Educação</t>
  </si>
  <si>
    <t xml:space="preserve">Gosto de fazer o meu trabalho </t>
  </si>
  <si>
    <t xml:space="preserve">Alimentação o aumento de salário e os benefícios </t>
  </si>
  <si>
    <t xml:space="preserve">Pra mim está bom assim </t>
  </si>
  <si>
    <t xml:space="preserve">Precisa melhora o horário de pagamento cai de manhã e quando for dia 15 for cai no sábado ou dormindo paga sempre dia 14 uma sexta feira </t>
  </si>
  <si>
    <t>O salário não condiz com a quantidade de função que o funcionário exerce.</t>
  </si>
  <si>
    <t xml:space="preserve">O salário não condiz com a quantidade de função que o funcionário exerce.. </t>
  </si>
  <si>
    <t>Concordo em partes, acredito que já tenham suas equipes “panelas” e meio que forçam os demais a se enquadrar pra ser aceito.</t>
  </si>
  <si>
    <t>Depende muito do setor, vejo pessoas descontente, dizendo que “quero ser demitido pra não perder meus direitos”, porém acho mais justo falar com o gestor e ver o que pode ser feito, afinal vai da a vaga pra quem precisa, e a pessoa em si poderá ir a procura de algo que lhe deixará feliz.</t>
  </si>
  <si>
    <t>O canal que temos é falar diretamente com o RH, porém nem sempre é colocado em prática novas ideias.</t>
  </si>
  <si>
    <t>Em partes concordo.</t>
  </si>
  <si>
    <t>Assistência Médica, Auxílio Combustível, Multibenefícios Alimentação/ Refeição, Cesta Básica, Gympass (Convênio Academias)</t>
  </si>
  <si>
    <t>Acredito que mais de 80% da empresa vem de transporte próprio e não tem um auxílio combustível, pois estamos pagando pra vim trabalhar… Não tem necessidade de ser um valor exorbitante, mas um valor pra “auxiliar” nesse gasto.. melhoraria demais o clima da empresa pois todos já informam o interesse, mas deixam de passar a ideia pq segundo os mesmos “RH é diretoria não vai fazer..</t>
  </si>
  <si>
    <t>Plano de saúde (poderia melhorar a porcentagem pra empresa). Vale alimentação muito bom, ajuda em casa, e o adiantamento.</t>
  </si>
  <si>
    <t>Oportunidades de crescimento, cursos pra uma possível mudança de função, ter a função híbrido.. já trabalhamos com notebook, tem inúmeros trabalhos que daria certo na função híbrido.</t>
  </si>
  <si>
    <t>Reconhecimento, Respeito, Senso de Justiça</t>
  </si>
  <si>
    <t>N/A</t>
  </si>
  <si>
    <t xml:space="preserve">Ambiente que proporciona crescimento </t>
  </si>
  <si>
    <t xml:space="preserve">Internet apresentando sinal baixo ultimamente </t>
  </si>
  <si>
    <t xml:space="preserve">Tenho um cenário de amplo aprendizado diário. </t>
  </si>
  <si>
    <t>Sim pra mim é uma empresa que todos os dias venho com muita vontade para trabalhar.</t>
  </si>
  <si>
    <t>Sempre com diálogo transparente.</t>
  </si>
  <si>
    <t xml:space="preserve">Sim . Em cada reunião. </t>
  </si>
  <si>
    <t xml:space="preserve">Ambiente saudável. </t>
  </si>
  <si>
    <t>Sempre.tratada de forma polida pelo meu líder. Mas com outros de outros setores não, já tive situações ruins.</t>
  </si>
  <si>
    <t>Sim , mas acredito que chegando em mim não promovo  apenas encerro o fluxo.</t>
  </si>
  <si>
    <t>Acredito que tenho muito a somar e me identifico com a empresa.</t>
  </si>
  <si>
    <t xml:space="preserve">Disponibiliza visão de crescimento </t>
  </si>
  <si>
    <t>Assistência Médica, Assistência Odontológica, Convênio com Livrarias, Vale Alimentação, Gympass (Convênio Academias)</t>
  </si>
  <si>
    <t xml:space="preserve">Convênio de Academias iria melhorar na saúde e condicionamento. </t>
  </si>
  <si>
    <t xml:space="preserve">Trabalho em equipe, Atendimento,  Resolução nos problemas. </t>
  </si>
  <si>
    <t>Comunicação,  Fluxo de informações nos e-mails.</t>
  </si>
  <si>
    <t>Acredito que nosso trabalho é forte e só tem a cresce.</t>
  </si>
  <si>
    <t>Mesmo com as adversidades do dia a dia é tão difícil e lidar com o humor das pessoas em momentos o ambiente é agradável</t>
  </si>
  <si>
    <t xml:space="preserve">A vezes sim outras pessoas nem tanto </t>
  </si>
  <si>
    <t xml:space="preserve">Vejo que tem empresas que remuneram muito mais </t>
  </si>
  <si>
    <t xml:space="preserve">Gosto do que faço </t>
  </si>
  <si>
    <t xml:space="preserve">Não existe uma ouvidoria </t>
  </si>
  <si>
    <t xml:space="preserve">As vezes sim as vezes não somente feedbacks </t>
  </si>
  <si>
    <t xml:space="preserve">Distribuir tarefas mas coordenar acho que falta mais treinamento para seu desenvolvimento </t>
  </si>
  <si>
    <t xml:space="preserve">As vezes sim as vezes não </t>
  </si>
  <si>
    <t xml:space="preserve">É um ambiente os dos diretores tentam deixar descontraído </t>
  </si>
  <si>
    <t>Assistência Médica, Multibenefícios Alimentação/ Refeição, Auxílio Educação, Empréstimo Consignado, Gympass (Convênio Academias), Day Off</t>
  </si>
  <si>
    <t xml:space="preserve">Pagamento em dia 
Acesso fácil a diretoria 
Ambiente em geral festivo e alegre </t>
  </si>
  <si>
    <t xml:space="preserve">Realizar a sala de espera dos cliente 
Realizar um ambiente mais amplo para sala de descanso e mais confortável 
Unir a matriz em um ambiente único para que todos os setores se relacionarem 
</t>
  </si>
  <si>
    <t xml:space="preserve">Sugestões  é realizar mais treinamento para a liderança de comportamentos e liderança e comunicar e controle emocional 
E realizar o pagamento pela parte da manhã e não no fim do expediente </t>
  </si>
  <si>
    <t>N tem sentido a pergunta ….</t>
  </si>
  <si>
    <t xml:space="preserve">N faz sentido a pergunta </t>
  </si>
  <si>
    <t xml:space="preserve">N faz sentido </t>
  </si>
  <si>
    <t xml:space="preserve">A pergunta n faz sentido </t>
  </si>
  <si>
    <t xml:space="preserve">Fácil mas eles n resolve muita coisa </t>
  </si>
  <si>
    <t xml:space="preserve">Meu líder o supervisor precisa ser treinador na que trabalhamos </t>
  </si>
  <si>
    <t xml:space="preserve">Líder e supervisor esculta nossas ideias porém nunca vi tomar nenhuma atitude pra que as ideias de melhor aconteça </t>
  </si>
  <si>
    <t>Na minha área eles sempre tem dúvidas pq ele não entende muito, ocupa o cargo de líder e supervisão só por conta do currículo somente …</t>
  </si>
  <si>
    <t>Cobra muito ,, e da parte do líder e supervisão n entrega nada .</t>
  </si>
  <si>
    <t>Quem tem cargo maior eles fazem vista grossa,</t>
  </si>
  <si>
    <t xml:space="preserve">Fala muito e n entrega nada </t>
  </si>
  <si>
    <t xml:space="preserve">A pergunta tem a palavra ,,excelente ,,a empresa n é a melhor, mas n é a pior , excelente poxa também é demais, e meio termo </t>
  </si>
  <si>
    <t>…</t>
  </si>
  <si>
    <t>Plano de saúde 100% , seguro de vida , vale combustível.</t>
  </si>
  <si>
    <t>Pesquisa de clima é sério deveria ser feito por uma auditoria especializada. E n por um colaborador da empresa.</t>
  </si>
  <si>
    <t>Gosto muito de trabalhar na empresa, sempre temos que melhorar, mas acredito que estamos caminhando para essa evolução.</t>
  </si>
  <si>
    <t>O coletivo é muito importante, mas nem sempre é unanimidade no caso de suporte e de ajuda, porém na sua grande maioria sim.</t>
  </si>
  <si>
    <t>Gostaria de ver mais sobre cursos e workshops de assuntos relacionados ao meio corporativo, liderança e criação.</t>
  </si>
  <si>
    <t>Algumas mudanças não ficam muito claras e recebemos algumas decisões bem por cima, sem explicar melhor o todo. Como por exemplo a mudança do sindicato e o que isso vai impactar no processo atual de segurança do trabalhador.</t>
  </si>
  <si>
    <t>Às vezes sim e não, algumas questões e ações ficam sem receber o mérito que deveria.</t>
  </si>
  <si>
    <t>Não sei ao certo como é o pagamento nas concorrentes, porém na minha área não existe um plano claro de carreira, gostaria de ver isso ser bem mais visto e avaliado.</t>
  </si>
  <si>
    <t>Sim, amo minha profissão e visto a camisa da empresa, estou disposto a mostrar todo o meu conhecimento para o crescimento.</t>
  </si>
  <si>
    <t>Sempre vejo isso, pelo menos na minha sala e comigo mesmo.</t>
  </si>
  <si>
    <t>Em sua maioria, pessoas de humildades, que sempre querem estar dispostas a ajudar.</t>
  </si>
  <si>
    <t>Na maioria sim, ouço muito alguns relatos de pessoas que gostam de trabalhar sim aqui, alguns poucos reclamam.</t>
  </si>
  <si>
    <t>Gostaria de ver um canal mais claro de comunicação, como um sac, caixa de opiniões e tal. Porém precisamos confiar para onde essa mensagem vai e se ela vai ser vista e avaliada.</t>
  </si>
  <si>
    <t>É complicado essa pergunta, acho muito interessante uma vida saudável quando conseguimos ter um tempo para tudo, o trabalho de 8h diários é uma grande parcela do dia, acho interessante o híbrido para algumas áreas.</t>
  </si>
  <si>
    <t>Poderia haver mais isso, eu concordo até certo ponto. Gostaria de ter mais possibilidades de crescimento e mostrar mais detalhes de como pode ser feita o crescimento.</t>
  </si>
  <si>
    <t>Sempre é válido, o erro faz parte do crescimento, o importante é não se repetir.</t>
  </si>
  <si>
    <t>Acho que algumas informações chegam sempre no final, porém seria mais interessante que se as informações estiverem e for no caso precisar do setor interessante ser avisado com antecedência.</t>
  </si>
  <si>
    <t>Acho que tem uma visão sim de onde chegar, porém a clareza em si pra mim não está muito planejada.</t>
  </si>
  <si>
    <t>Sempre está disponível e quer saber sempre mais sobre tudo que acontece.</t>
  </si>
  <si>
    <t>Acredito que exista sim os favoritos, contratação de familiares, escutas e visões vindas de pessoas que estão mais tempo, mas em sua maioria atualmente eu vejo mudanças nesse caso, já passei por situações que vi um ficar do lado sem realmente saber o contexto da situação e no caso como presenciei vi que estavam totalmente equivocados e por esse favoritismo a pessoa ganhou o caso ao meu ver na dita confiança que eles tinham.</t>
  </si>
  <si>
    <t>Sem muitos pontos sobre esse tema, estamos em um meio e em uma fase que temos que reeducar ou até mesmo ajudar e dá suporte para alguns sobre esses casos, já ouvi falas e comentários inadequados, porém para melhorar ainda mais, acredito que palestras, momentos de falas e trocas seria interessante.</t>
  </si>
  <si>
    <t>Já fui humilhado pelo antigo diretor, em uma das reuniões que estive com ele, o mesmo bateu no peito e disse que quem mandava era ele e eu estava aqui porque ele queria e que eu ficasse quieto, pensei em sair da empresa naquele momento, mas eu respirei e como estava na sala com outras pessoas não quis alarmar e nem seguir na ignorância. Na atual gestão no começo acho que pela imatura presenciei alguns momentos que me deixaram meio perdidos de oscilações de humor, mas nada de extremismo, acho que mesmo para o crescimento profissional e corporativo.</t>
  </si>
  <si>
    <t>Hoje sim!</t>
  </si>
  <si>
    <t>Algumas pessoas sim, deixam de falar o que acham e se deixam levar pelo medo e pela babação.</t>
  </si>
  <si>
    <t>Gostaria de ser mais valorizado, não só como promoção, mas com um contexto geral.</t>
  </si>
  <si>
    <t>E onde não têm, hehe. Mas no caso temos algumas pessoas em particular que circulam em muitos ambientes que realmente são conhecidas como fofoqueiras e energias pesadas.</t>
  </si>
  <si>
    <t>Sim, sendo bem valorizado e em um cargo de comum acordo que exerço.</t>
  </si>
  <si>
    <t>Gostaria de ver mais integrações principalmente com o anexo e com outros setores.</t>
  </si>
  <si>
    <t>Sim, ambiente muito bom.</t>
  </si>
  <si>
    <t xml:space="preserve">Assistência Médica, Assistência Odontológica, Convênio com Livrarias, Celular, Vale Refeição, Vale Alimentação, Multibenefícios Alimentação/ Refeição, Auxílio Educação, Cesta Básica, Seguro de Vida, Gympass (Convênio Academias), Day Off, Híbrido </t>
  </si>
  <si>
    <t>Mais benefícios como psicologia, massoterapeuta...</t>
  </si>
  <si>
    <t>Bom relacionamento interpessoal, visão de futuro e planejamento.</t>
  </si>
  <si>
    <t>Planos de cargos e carreira, segurança em geral, recepção.</t>
  </si>
  <si>
    <t>Agradecer por nós ouvir.</t>
  </si>
  <si>
    <t>Diretoria qualificada e engajada, empresa em expansão e oportunidades reais de crescimento profissional</t>
  </si>
  <si>
    <t>Melhorar a comunicação interna, otimizar processos e implementar um programa de desenvolvimento de equipes.</t>
  </si>
  <si>
    <t>Percebo que a gestão está buscando unir todas as áreas e integrar os colaboradores como parte de uma única empresa. No entanto, ainda vejo a necessidade de um esforço maior nesse ponto, pois algumas áreas sentem uma carga de cobrança maior do que outras. Além disso, a forma como as falhas são apontadas parece ter um peso diferente entre as áreas.</t>
  </si>
  <si>
    <t>Concordo porém existem pontos de Infraestrutura a melhorar/redimensionar, como banheiros, vestiários e sala de descanso.</t>
  </si>
  <si>
    <t>Sempre recebi todos recursos necessários e quando não tinha, foi providenciando conforme necessidade.</t>
  </si>
  <si>
    <t>Na maior parte das pessoas sim.</t>
  </si>
  <si>
    <t>A missão da empresa é bem difundida e sempre estamos com vontade genuína de impactar positivamente o dia daqueles que se relacionam conosco.</t>
  </si>
  <si>
    <t>Existiu alguns pequenos projetos de treinamentos e desenvolvimento, porém foram pontuais.</t>
  </si>
  <si>
    <t>Isso é visível no alto número de promoções e divulgação de destaques.</t>
  </si>
  <si>
    <t>Ne media sim</t>
  </si>
  <si>
    <t xml:space="preserve">Além de ter um clima bom, fazer parceiros de trabalho o poder impactar diversas pessoas é essencial para o negócio </t>
  </si>
  <si>
    <t xml:space="preserve">Sempre temos colaboração </t>
  </si>
  <si>
    <t xml:space="preserve">Esses canais ate existem mas não sao bem definidos ou não utilizados da maneira mais efetiva </t>
  </si>
  <si>
    <t>Seria apenas se houvesse um momento de crise no mercado</t>
  </si>
  <si>
    <t xml:space="preserve">Há ações para esse equilíbrio, porém é algo que precisa de mais investimentos e ser mais falado por todos os setores, principalmente o operacional </t>
  </si>
  <si>
    <t xml:space="preserve">Temos reuniões semanais de alinhamento </t>
  </si>
  <si>
    <t>Dentro da minha expectativa sim</t>
  </si>
  <si>
    <t>Na maioria das vezes sim</t>
  </si>
  <si>
    <t xml:space="preserve">Há um atingimento de meta setoriais que uns comemoram e outro não </t>
  </si>
  <si>
    <t xml:space="preserve">Na maior parte das vezes não e sempre que existe soa como tom de brincadeira </t>
  </si>
  <si>
    <t xml:space="preserve">Existe pouco como em qualquer outro tipo de ambiente, fofocas que não chegam a denigrir ou atingir diretamente a ninguém </t>
  </si>
  <si>
    <t>Em algumas pessoas que por talvez disputarem destaque do mês possa criar um sentimento de rivalidade</t>
  </si>
  <si>
    <t>Tendo o reconhecimento da liderança e a perspectiva de crescimento da empresa e com isso gerar mais oportunidades para mim e para equipe</t>
  </si>
  <si>
    <t>Na soma dos pontos positivos e pontos a melhorar, a empresa se destaca por tempo mais pontos positivos</t>
  </si>
  <si>
    <t>Seriam até mais de 5, porém foram os 5 mais relevantes</t>
  </si>
  <si>
    <t>Valorização das pessoas, ambiente colaborativo e gestão ativa</t>
  </si>
  <si>
    <t xml:space="preserve">Infraestrutura relacionada com o número de pessoas na unidade, investimentos em processos bem definidos e investimentos em treinamentos e capacitações </t>
  </si>
  <si>
    <t xml:space="preserve">Infraesutrura precisa vir acompanhanda do crescimento do número de pessoas e processos da empresa. Investimentos em desenvolvimento profissional é essencial para o alto crescimento da empresa. Investir em processos bem organizado também serão necessários olhando para o cenário de expansao da empresa. </t>
  </si>
  <si>
    <t>Ambiente sempre limpo e organizado, onde todos colaboradores estão buscando manter o ambiente agradável.</t>
  </si>
  <si>
    <t xml:space="preserve">Me senti muito bem acolhido na empresa desde o primeiro dia, e o sentido de atender bem as pessoas e ser bem visto pelos clientes pelo nome que a empresa carrega </t>
  </si>
  <si>
    <t>Como eu me senti muito bem acolhido, todos são muito bem recebido.</t>
  </si>
  <si>
    <t xml:space="preserve">Esse recurso é cabível a todo tipo de organização, tendo em vista a saúde financeira das empresas </t>
  </si>
  <si>
    <t xml:space="preserve">
</t>
  </si>
  <si>
    <t>Aqui fui muito bem recebido, gosto muito do ambiente e do meu trabalho, e a forma de como exerço as minhas tarefas.</t>
  </si>
  <si>
    <t>Assistência Médica, Assistência Odontológica, Auxílio Combustível, Celular, Multibenefícios Alimentação/ Refeição</t>
  </si>
  <si>
    <t>Organização, transparência e foco</t>
  </si>
  <si>
    <t>Área de descompressão, banheiros.</t>
  </si>
  <si>
    <t>Informar mais uma vez que estou muito feliz em fazer parte dessa empresa, um time , uma organização que está focada em crescer a cada dia.</t>
  </si>
  <si>
    <t>Concordo parcialmente, mas creio que algumas pessoas não tem a mesma linha de pensamento.</t>
  </si>
  <si>
    <t>Alguns setores comemoram mais que outros setores.</t>
  </si>
  <si>
    <t>Não adianta negar, cada setor tem uma intimidade entre si, entre os colaboradores , então gera algumas fofocas. Fofocas essas que podem ser relacionadas a empresa ou também a assuntos externos.</t>
  </si>
  <si>
    <t>Assistência Médica, Assistência Odontológica, Auxílio Combustível, Cesta Básica, Seguro de Vida</t>
  </si>
  <si>
    <t>Colaboradores dedicados a ajudar, ambiente de trabalho, salário.</t>
  </si>
  <si>
    <t>Organização de layout, Fardamento, horário de almoço.</t>
  </si>
  <si>
    <t>Minha sugestão é a implementação se possível de vale combustível.</t>
  </si>
  <si>
    <t>Acho que é de suma importância que haja um plano de cargos e carreiras pra ontem.</t>
  </si>
  <si>
    <t>Acho que tem muita gente na empresa que trabalha duro e tem muita identificação com a organização e não é visto. E tem muita gente que mostra total desinteresse pela empresa, e muitas vezes deixa o ambiente conturbado, e é recompensado.</t>
  </si>
  <si>
    <t>Sei de colaboradores antigos que estão em outras locadoras recebendo salários e benefícios melhores.</t>
  </si>
  <si>
    <t>Concordo, mas acredito que não seja difícil melhorar.</t>
  </si>
  <si>
    <t>O meu líder eu sei que sim, mas sei de outros que não.</t>
  </si>
  <si>
    <t>O meu sim, mas acho que podemos melhorar muito de maneira geral.</t>
  </si>
  <si>
    <t>Acho que algumas pessoas tem algum tipo de preferência.</t>
  </si>
  <si>
    <t>Acho que dentro dos setores sim, mas na relação entre setores isso é alterado.</t>
  </si>
  <si>
    <t>Alguns setores sempre comemoram, outros não.</t>
  </si>
  <si>
    <t>Sempre tem, mas na maioria não.</t>
  </si>
  <si>
    <t>Sinto que posso fazer a diferença, mas não me sinto tão valorizado.</t>
  </si>
  <si>
    <t>Assistência Médica, Assistência Odontológica, Auxílio Combustível, Multibenefícios Alimentação/ Refeição, Auxílio Educação, Gympass (Convênio Academias)</t>
  </si>
  <si>
    <t>Achei necessário marcar 6.</t>
  </si>
  <si>
    <t>Ambiente físico, clima amistoso, liberdade.</t>
  </si>
  <si>
    <t xml:space="preserve">Flexibilidade de horário, reconhecimento, melhores salários </t>
  </si>
  <si>
    <t>Acredito que de forma geral a empresa é excelente. Mas para mim poderia melhorar na parte de reconhecimento e salários.</t>
  </si>
  <si>
    <t>Os líderes sempre ajudando os colaboradores pra desenvolver no crescimento do fucionario</t>
  </si>
  <si>
    <t xml:space="preserve">Aq quando agente é contratado as pessoas nos tratam muito bem </t>
  </si>
  <si>
    <t xml:space="preserve">Vejo muitas pessoas falando um do outro com rivalidade pra crescer </t>
  </si>
  <si>
    <t>Assistência Médica, Multibenefícios Alimentação/ Refeição, Cesta Básica, Empréstimo Consignado, Vale conbustivel</t>
  </si>
  <si>
    <t xml:space="preserve">Os líderes muito atencioso ambientes bom pra trabalhar </t>
  </si>
  <si>
    <t xml:space="preserve">Banheiro. um  lugar maior pro descanso. poderia melhor no salário </t>
  </si>
  <si>
    <t>Gostaria q melhorasse mais um pouco pa parte do espaço e outras coisas</t>
  </si>
  <si>
    <t>Auxílio Combustível, Cesta Básica, Seguro de Vida, Gympass (Convênio Academias), Day Off</t>
  </si>
  <si>
    <t>Liberdade, autonomia, clima organizacional.</t>
  </si>
  <si>
    <t>Melhor tratamento e reconhecimento da Diretoria, aumento salário e benefícios e diminuir o acúmulo de funções.</t>
  </si>
  <si>
    <t>No geral, respondendo as perguntas que discordei, vejo que há uma falta de reconhecimento por parte da diretoria em algumas atividades que venho exercendo, seja horas extras, otimização de processos e esforço em aprender e melhorar constantemente o setor. Havendo apenas cobranças e apontamento de erros e não enxergando os pontos positivos.</t>
  </si>
  <si>
    <t>Alguns setores como logística e manutenção, tem "brincadeiras" machistas e homofóbicas</t>
  </si>
  <si>
    <t>Algumas atividades que são solicitadas com "urgência" não são fornecidos os insumos necessários.</t>
  </si>
  <si>
    <t>Sempre existe um colaborador que faz mais e leva toda a equipe nas costas, e por ser eficiente sempre tem mais trabalho porque esse colaborador é o único que faz o trabalho com qualidade. Deixando os demais da equipe mais folgados.</t>
  </si>
  <si>
    <t>A empresa fornece crescimento somente para alguns setores, na área comercial não vejo essas oportunidades. Possui oportunidade para ser consultor, mas não é todos que tem interesse nessa vaga.</t>
  </si>
  <si>
    <t xml:space="preserve">A empresa reconhece alguns bons colaboradores, mas vejo muitos profissionais qualificados não serem reconhecidos por serem mais tímidos ou retraído. </t>
  </si>
  <si>
    <t xml:space="preserve">Existe muita rotatividade, e a maioria pedi demissão para iniciar em outro emprego, ganhando mais. </t>
  </si>
  <si>
    <t xml:space="preserve">Não vejo um canal direto onde podemos falar nossas sugestões ou críticas, algumas vezes falamos pro Rh e fica meio que falado de boca e as ideias acabam se perdendo. </t>
  </si>
  <si>
    <t>Dedicamos mais tempo ao nosso trabalho do que a nossa família e amigos, então fazer algo fora do horário de trabalho, nem sempre é possível e as vezes parece que a empresa não entende e exige nossa participação.</t>
  </si>
  <si>
    <t>Vejo que o meu gestor está preocupado somente com a parte profissional, pra algumas pessoas acho inflexível é outras podem fazer tudo.</t>
  </si>
  <si>
    <t>Vejo que as ideias só são aceitas quando não tem custo.</t>
  </si>
  <si>
    <t>Alguns colaboradores fazem corpo mole e é necessário ficar verificando.</t>
  </si>
  <si>
    <t xml:space="preserve">Algumas pessoas com quem o gestor tem mais intimidade, vejo que ele protege mais. </t>
  </si>
  <si>
    <t xml:space="preserve">As pessoas que são mais eficientes e responsáveis, são sobrecarregadas porque sempre passam mais tarefas. </t>
  </si>
  <si>
    <t>Já me senti humilhada</t>
  </si>
  <si>
    <t xml:space="preserve">Muitas pessoas gostam de fazer "amizade" com os gestores e na frente deles fazem um bom trabalho e na ausência não fazem mais nada. </t>
  </si>
  <si>
    <t>Não me sinto tão valorizada. Não falo tanto na questão financeira, falo na questão do profissionalismo, recolhimento do meu trabalho.</t>
  </si>
  <si>
    <t>Não vejo rivalidade!</t>
  </si>
  <si>
    <t>Auxílio Combustível, Cesta Básica, Gympass (Convênio Academias), Day Off</t>
  </si>
  <si>
    <t xml:space="preserve">1- não existir mais vários sindicatos.
2- horário e os dias trabalhados
3 - comissão e bonificações </t>
  </si>
  <si>
    <t xml:space="preserve">1 - estrutura da empresa
2 - um treinamento mais elaborado para os novatos 
3 - setores mais bem distribuídos, vejo uma pessoa fazendo o trabalho de duas. </t>
  </si>
  <si>
    <t>Melhorar a estrutura da empresa: sala de espera para os clientes, banheiros maiores e mais organizados, um espaço mais higiênico para descansar</t>
  </si>
  <si>
    <t>Temos problemas de infraestrutura e muito barulho da manutenção.</t>
  </si>
  <si>
    <t xml:space="preserve">As vezes sobre material não é o suficiente pra executar o trabalho da melhor forma. </t>
  </si>
  <si>
    <t>Muitas pessoas só levam em consideração suas vontades e a ajuda não é bem genuína.</t>
  </si>
  <si>
    <t xml:space="preserve">Vejo que existem alguns movimentos assim de treinamentos, mas bem seletivo. </t>
  </si>
  <si>
    <t>As vezes falta essa clareza e a empresa não é tão transparente com seus funcionários.</t>
  </si>
  <si>
    <t>Reconhecimento aqui é bem seletivo.</t>
  </si>
  <si>
    <t>Salários seguem o limite do mínimo do mercado, não acho justo.</t>
  </si>
  <si>
    <t>Aqui se você não seguir o padrão de comportamento liberal, você não será muito bem recebido.</t>
  </si>
  <si>
    <t>Praticamente não temos esse canal.</t>
  </si>
  <si>
    <t>Ja ocorreu e não foi em último recurso.</t>
  </si>
  <si>
    <t>A empresa não deixa isso muito bem claro.</t>
  </si>
  <si>
    <t>Ja vi uma liderança de outro setor querer humilhar outra pessoa de outro setor.</t>
  </si>
  <si>
    <t>Se importam se for do Interesse indivual ou se podem ganhar algo com aquilo.</t>
  </si>
  <si>
    <t>Não vejo isso por toda a empresa, mas novamente de forma seletiva.</t>
  </si>
  <si>
    <t>Infelizmente existe.</t>
  </si>
  <si>
    <t>Muitas só se importam com se mesmo e se possível julga e aponta o dedo para o erro dos outros.</t>
  </si>
  <si>
    <t>Assistência Médica, Auxílio Combustível, Vale Alimentação, Cesta Básica, Day Off</t>
  </si>
  <si>
    <t xml:space="preserve">Diretoria aberta oportunidade de crescimento integridade no dia de pagamento de salários </t>
  </si>
  <si>
    <t xml:space="preserve">benefícios, focar na missão estabelecida, salários </t>
  </si>
  <si>
    <t>Ambiente muito fora do patrão para mecânico e técnico em eletrica</t>
  </si>
  <si>
    <t>Sobre a oficina e banheiro até agora não foi tomada nenhuma iniciativa com respeito a espaço e segurança .</t>
  </si>
  <si>
    <t>Devido a questão de sindicato ou pela própria gestão deixa a desejar alguns benefícios q  nós merecemos pelo local e forma de trabalho.</t>
  </si>
  <si>
    <t>Gosto do q faço independente de qual seja a empresa</t>
  </si>
  <si>
    <t xml:space="preserve">Devido fatores de salários e ambiente de trabalho </t>
  </si>
  <si>
    <t>Pq não depende dele</t>
  </si>
  <si>
    <t xml:space="preserve">Pq cabe a cada um realizar suas atividades </t>
  </si>
  <si>
    <t xml:space="preserve">Em nenhum momento </t>
  </si>
  <si>
    <t>Algumas sim</t>
  </si>
  <si>
    <t xml:space="preserve">Devido ao ambiente de trabalho e tbm da parte de higiene q no caso banheiro </t>
  </si>
  <si>
    <t>Ambiente insalubre com pouca iluminação sem espaço e ambiente correto para desde de equipamentos</t>
  </si>
  <si>
    <t>Qual o canto que tem kkkk,</t>
  </si>
  <si>
    <t>Algumas pessoas sim</t>
  </si>
  <si>
    <t>Vai depender muito de como a empresa vai mudar futuramente.</t>
  </si>
  <si>
    <t xml:space="preserve">Tem muita  coisa para ser ajustada com funcionários e lo oval de trabalho </t>
  </si>
  <si>
    <t>Assistência Médica, Assistência Odontológica, Auxílio Combustível, Refeição na Empresa, Vale Refeição, Seguro de Vida</t>
  </si>
  <si>
    <t xml:space="preserve">Vale combustível e seguro de vida deveria ser levado em pauta com os gestores </t>
  </si>
  <si>
    <t>Realizações de gincanas , aniversariantes e aumento de cargo</t>
  </si>
  <si>
    <t>Banheiro  vestiário e espaço de descanso de almoço</t>
  </si>
  <si>
    <t>Tornar o ambiente mais agradável com ótimas condições de trabalho  trazer mais benefícios tais como vale combustível seguro de vida faz com q o profissional se dedique mais a empresa e aumente sua produção  .</t>
  </si>
  <si>
    <t>É um bom ambiente de se trabalhar, mas só isso não retém talentos. Temos muito a melhorar principalmente em benefícios, infraestrutura e planos de carreiras. Se a gente quer ser uma empresa que uma pessoa passe 5 anos ou mais, perder essa fama de empresa que as pessoas só aprendem, pegam experiência no mercado e saem para outros lugares. O ponto chave está aí. Ter salários mais competitivo, na minha visão o da Nordeste está muito abaixo do mercado para todas as áreas.</t>
  </si>
  <si>
    <t>Acredito que nossas máquinas são ultrapassadas. Em algumas áreas se faz necessidade o BI, e quando queremos isso se faz necessário aumento de memória nos PCs. Seria interessante já ter máquinas que suportem esse tipo de aplicação, para evitar outro investimento a respeito.</t>
  </si>
  <si>
    <t>Até tem às vezes, mas esporádico até demais. Pode melhorar muito ainda</t>
  </si>
  <si>
    <t>Entendo que a empresa está crescendo e evoluindo cada vez mais. Isso é ótimo. Entretanto acredito que a via de mão dupla empresa e funcionários não está acontecendo. Apenas para empresa. Não vejo retorno dos nossos resultados atuais em melhorias visíveis no nosso dia a dia.</t>
  </si>
  <si>
    <t>Até sim, mas infelizmente isso é setorizado. Alguns setores são valorizados e outros extremamente esquecidos. Se você der sorte de cair em uma gestão que reconheça esse esforço a mais, sim. Agora caso contrário, infelizmente isso não acontece</t>
  </si>
  <si>
    <t>Acredito que deveria ser feito um estudo real e sério sobre o tema, pois está defasado demais! Chega a ser absurdo a discrepância. Entra no principal ponto, do número absurdo de saídas e turnovers em 2024. Inúmeras vezes perdemos talentos por esse motivo, principalmente. A nordeste precisa acordar, se não será mais do mesmo esse ano, justamente por conta de salários.</t>
  </si>
  <si>
    <t>Pra mim é, mas infelizmente ainda sinto que não obtive o retorno da empresa. Para que isso se torne ainda mais realidade.</t>
  </si>
  <si>
    <t xml:space="preserve">No início sim, depois de alguns meses, as questões de benefícios fracos, salários baixos e falta de oportunidades de crescimento podem acabar desmotivando </t>
  </si>
  <si>
    <t>Acredito que essa questão de auxílio do RH, como nos é informado quando entramos. Fica muito no papel, na prática não vejo muito isso, infelizmente.</t>
  </si>
  <si>
    <t>Já aconteceu ano passado, então pode vir a acontecer novamente.</t>
  </si>
  <si>
    <t>Só falamos de trabalho o tempo todo, então só como profissional mesmo</t>
  </si>
  <si>
    <t>Acredito que não, tenho que ir atrás das informações com os meus colegas. E também acho o nosso RH e DP muito inacessíveis. Parece que é pecado falar de dinheiro, de salário com eles. Tudo eles são instruídos a se silenciarem. Isso me incomoda bastante.</t>
  </si>
  <si>
    <t>Infelizmente já presenciei casos de bullying e racismo na empresa. Mas a pessoa afetada não sei o motivo levaram na brincadeira, entretanto achei muito estranho e ruim de se presenciar</t>
  </si>
  <si>
    <t>Já presenciei em outros setores isso. Mas no meu até nunca no meu setor</t>
  </si>
  <si>
    <t>Infelizmente, mesmo depois da saída do antigo sócio. Ainda vejo a empresa com muita setorização. Vejo muito o sentimento de "A prioridade é o meu setor, e não ligo para o resto". Infelizmente o sentimento de fazer parte do corpo Nordeste Locações não existe. É como se o braço e a perna, fossem independentes.</t>
  </si>
  <si>
    <t>No meu caso, não. Infelizmente. Mas gostaria muito dessa mudança.</t>
  </si>
  <si>
    <t>Vejo bastante no meu dia a dia, infelizmente.</t>
  </si>
  <si>
    <t>Infelizmente sim</t>
  </si>
  <si>
    <t xml:space="preserve">Sim, mas precisa acordar para o mercado. Ter benefícios, salários e oportunidades melhores. O que atualmente não ocorre, infelizmente </t>
  </si>
  <si>
    <t>Infelizmente sinto que cada um está na sua bolha. Como se existissem muros. Que separam os setores e as pessoas</t>
  </si>
  <si>
    <t>Ainda não. É uma empresa ok, espero que um dia possa se dizer que sim</t>
  </si>
  <si>
    <t>Se faz necessário com urgência o auxílio combustível. Poderia ser o mesmo valor disponibilizado no vale transporte ou um valor fixo de 200 reais mensais.</t>
  </si>
  <si>
    <t>Ambiente, vontade de ensinar da maioria das pessoas e uma direção que sabe o que está fazendo</t>
  </si>
  <si>
    <t xml:space="preserve">Benefícios são fracos, salários muito abaixo do mercado e oportunidades de crescimento. </t>
  </si>
  <si>
    <t>Renovação de benefícios. Vale ser um valor fixo, não sendo mais na diária. Assistência médica ser 100% coberta pela empresa, vale combustível fixo para quem tem veículos. Salários serem renovados e seguir o mercado ou pelo uma logica, e as oportunidades de crescimento aparecerem. Acontece por exemplo que a nordeste locações pagavam um salário X pra minha posição no passado. E tenho o mesmo cargo que essa pessoa e recebo muito menos que ela. Pra mim isso não faz o menor sentido, pagava mais pra pessoa e pra mim que tem o mesmo cargo não paga o mesmo valor. São esses tipos de inconsistências que também acabam desmotivando as pessoas. Acredito que deveria ter essa revisão de salários urgentes. A empresa tem que entender que o que faz a pessoa querer ficar vai muito além do ambiente de trabalho que aqui é bom, mas usar isso como propaganda por muito tempo não irá dar certo.</t>
  </si>
  <si>
    <t xml:space="preserve">Umas coisas eu concordo outras não por exemplo banheiro está deixando a desejar </t>
  </si>
  <si>
    <t>Está faltando ferramenta adequada para realizar as atividades como sacar rolamentos n608</t>
  </si>
  <si>
    <t xml:space="preserve">Para a empresa sim mas para os colaboradores ainda deixar a desejar </t>
  </si>
  <si>
    <t>Está deixando a desejar como os mecânicos trabalhador com produtos perigoso com gasolina a rede elétrica está precária e não vejo melhoras</t>
  </si>
  <si>
    <t xml:space="preserve">Meu trabalho tem um sentido para mim mas para a empresa eu acho quer não </t>
  </si>
  <si>
    <t xml:space="preserve">Faltando olhar mas para a parte da mecânica </t>
  </si>
  <si>
    <t xml:space="preserve">Lider para mandar tem mas para resolver os problemas quer tem na oficina não </t>
  </si>
  <si>
    <t>Quer faça as manutenções nas máquinas só isso</t>
  </si>
  <si>
    <t>Comprometimento com a empresa ele tem mas com os funcionários nas</t>
  </si>
  <si>
    <t xml:space="preserve">A favor da empresa mas para funcionários não </t>
  </si>
  <si>
    <t xml:space="preserve">Fala mas entra no ouvido sai no outro </t>
  </si>
  <si>
    <t xml:space="preserve">Deus quem vai dizer </t>
  </si>
  <si>
    <t>Assistência Médica, Auxílio Combustível, Celular, Vale Refeição, Vale Alimentação, Seguro de Vida</t>
  </si>
  <si>
    <t xml:space="preserve">Plano de saúde vale alimentação e farmácia </t>
  </si>
  <si>
    <t>Perigolosidade .</t>
  </si>
  <si>
    <t>Nos mecânico trabalhamos com produtos químicos e não recebemos nada com isso tinha quer olhar mais para isso</t>
  </si>
  <si>
    <t xml:space="preserve">É  agradável trabalhar na Nordeste,  porém se o ambiente fosse um pouco mais confortavel ajudaria </t>
  </si>
  <si>
    <t xml:space="preserve">Minhas máquinas de trabalho e meu ambiente são bons mas ja estao ultrapasados e para o conforto e ergonômia deveriam ser revistos </t>
  </si>
  <si>
    <t xml:space="preserve">Quase todos aqui na Nordeste fazem o seu trabalho bem e ate além de suas funções para concluir suas tarefas </t>
  </si>
  <si>
    <t xml:space="preserve">Quase todos sao muito receptivos e sempre tem a vontade de ajudar </t>
  </si>
  <si>
    <t>Aqui nao tem um suporte direto para cursos nem para o desenvolvimento,  concordo que aqui na Nordeste temos varias oportunidades mas nao de cursos externos nem suporto ao estudo, sugiro um estudo sobre esse assunto para alem de oferecer um convenio ou curso gratuito , a nordeste focar mais nessa parte ,</t>
  </si>
  <si>
    <t xml:space="preserve">A empresa esta em constante crescimento,  e lutando para se torna uma das maiores do Nordeste,  focando nas relações pessoais com os clientes , mas tambem com foco em evolução dos processos e otimização de recursos </t>
  </si>
  <si>
    <t xml:space="preserve">Aqui todos se tratam como uma grande família,  acho que  esse clima relaxante e descontraido faz com que nos sentimos em casa </t>
  </si>
  <si>
    <t>Assistência Médica, Celular, Multibenefícios Alimentação/ Refeição, Auxílio Educação, Empréstimo Consignado</t>
  </si>
  <si>
    <t xml:space="preserve">As pessoas,  o ambiente,  A comunicação </t>
  </si>
  <si>
    <t xml:space="preserve">Estrutura , benefícios,  salários </t>
  </si>
  <si>
    <t xml:space="preserve">Gostaria que as mudanças realmente acontececem e nao somente fosse dito ou prometido </t>
  </si>
  <si>
    <t>Auxílio Combustível, Cesta Básica</t>
  </si>
  <si>
    <t xml:space="preserve">
</t>
  </si>
  <si>
    <t xml:space="preserve">Ok
</t>
  </si>
  <si>
    <t>Algumas pessoas saíram da empresa justamente pela baixa remuneração, indo para a concorrente.</t>
  </si>
  <si>
    <t xml:space="preserve">Não é </t>
  </si>
  <si>
    <t>Existe alguns tratamentos diferenciados</t>
  </si>
  <si>
    <t xml:space="preserve">Às vezes tem postura inadequada de líder </t>
  </si>
  <si>
    <t>Líder de outro setor se achando superior a um colega de trabalho</t>
  </si>
  <si>
    <t>Nunca presenciei</t>
  </si>
  <si>
    <t>O ambiente de trabalho, flexibilidade de horário e oportunidade de crescimento.</t>
  </si>
  <si>
    <t xml:space="preserve">Poderia ser aderido a modalidade de trabalho híbrido para as tividades que couberem;
 Conscientizar os colaboradores da importância de manter limpo o espaço de uso coletivo;
Os pagamentos deveriam ser realizados pelo turno da manhã e não ao final do dia.
</t>
  </si>
  <si>
    <t>Seria interessante ter laboral 1x por semana e o dia da fruta. O dia da fruta se dá da seguinte maneira , 1x por semana seria oferecido em cada sala uma cesta com diversas frutas( banana, tangerina, maçã,...) para que cada colaborador pudesse pegar uma. Isso faz toda a diferença num ambiente de trabalho, já trabalhei em uma empresa que oferecia e era bom demais.</t>
  </si>
  <si>
    <t xml:space="preserve">Vejo que a grande maioria dos colaboradores Nordeste são empenhados a ajudar as demandas </t>
  </si>
  <si>
    <t xml:space="preserve">Treinamentos e oportunidades sempre são oferecidas para crescimento </t>
  </si>
  <si>
    <t xml:space="preserve">Sempre fui reconhecida pelo que faço </t>
  </si>
  <si>
    <t xml:space="preserve">Por conversas com outros colaboradores Nordeste e até mesmo de outras empresas, a Nordeste deixa a desejar no quesito SALÁRIO quanto a algumas funções </t>
  </si>
  <si>
    <t xml:space="preserve">Amo o que faço, e vejo total sentido no meu trabalho. </t>
  </si>
  <si>
    <t xml:space="preserve">Acredito que os sócios da empresa são bastante empáticos e humanos, tomando decisões quase sempre baseadas no bem estar do colaborador </t>
  </si>
  <si>
    <t xml:space="preserve">Meu líder é inspiração </t>
  </si>
  <si>
    <t xml:space="preserve">Sempre pensando no meu crescimento pessoal e profissional </t>
  </si>
  <si>
    <t xml:space="preserve">Tenho total acesso ao meu líder e sempre com fácil acesso para tratar qualquer assunto </t>
  </si>
  <si>
    <t xml:space="preserve">Semanalmente temos feedback simples e uma vez por mês temos o feedback estruturado, sempre posicionando o que precisa ser melhorado, e o que venho fazendo corretamente. </t>
  </si>
  <si>
    <t xml:space="preserve">Sempre que há alguma pequena chateação, é solucionado e conversado </t>
  </si>
  <si>
    <t>Inclusive acho incrível, como todos, independente do cargo, conseguimos ter esse tratamento por igual</t>
  </si>
  <si>
    <t xml:space="preserve">Acredito que é algo inevitável, mas diferente de outras empresas onde já trabalhei, as fofocas não são pesadas e não me lembro de terem prejudicado alguém em um nível preocupante </t>
  </si>
  <si>
    <t>Em algum momento sim percebo essa rivalidade mas acredito que algo que consigamos minimizar com conversas e ações</t>
  </si>
  <si>
    <t>Pretendo crescer e me aposentar por aqui kkkkkk</t>
  </si>
  <si>
    <t xml:space="preserve">Até o momento o melhor que já trabalhei </t>
  </si>
  <si>
    <t>Assistência Médica, Auxílio Combustível, Vale Alimentação, Auxílio Educação, Gympass (Convênio Academias)</t>
  </si>
  <si>
    <t xml:space="preserve">Acesso fácil a líderes e diretores, boa convivência com os colaboradores, reconhecimento. </t>
  </si>
  <si>
    <t xml:space="preserve">Local de descanso, salários e auxílios </t>
  </si>
  <si>
    <t xml:space="preserve">Atualmente estou muito satisfeita com a Nordeste Locacoes, acredito que com essa pesquisa algumas coisas que já são boas, serão ótimas e algumas que não são boas faremos ser. É uma empresa excelente de trabalhar, que pensa no colaborador e visa sempre o bem estar do mesmo. </t>
  </si>
  <si>
    <t>Empresa acolhedora, clima agradável e pessoas acessíveis.</t>
  </si>
  <si>
    <t>É um dos valores que se aplicam.</t>
  </si>
  <si>
    <t>Nítido que a empresa tem muitas possibilidades de crescimento e aposta no funcionário.</t>
  </si>
  <si>
    <t>Trabalhamos para sermos a numero  1 do Nordeste.</t>
  </si>
  <si>
    <t xml:space="preserve">A empresa é acolhedora </t>
  </si>
  <si>
    <t>Minha equipe é sem igual.</t>
  </si>
  <si>
    <t xml:space="preserve">Empresa muito humana </t>
  </si>
  <si>
    <t>Ele busca desenvolver os seus liderados</t>
  </si>
  <si>
    <t xml:space="preserve">Nunca vi acontecer </t>
  </si>
  <si>
    <t>Alguns setores sim</t>
  </si>
  <si>
    <t>Não conheço quem faça.</t>
  </si>
  <si>
    <t>Os diretores são super acessíveis e abertos a opiniões.</t>
  </si>
  <si>
    <t>Sinto que faço parte.</t>
  </si>
  <si>
    <t>Todo ambiente tem, chega a ser inevitável, não denegrindo a imagem dos colaboradores é considerada saudável, aqui não seria diferente.</t>
  </si>
  <si>
    <t xml:space="preserve">Não vejo isso acontecer </t>
  </si>
  <si>
    <t>Acho que as equipes se dão muito bem, de fato uma EQUIPE</t>
  </si>
  <si>
    <t>Assistência Médica, Assistência Odontológica, Auxílio Combustível, Multibenefícios Alimentação/ Refeição, Empréstimo Consignado, Gympass (Convênio Academias), Day Off</t>
  </si>
  <si>
    <t xml:space="preserve">Sala de descanso ( poucas empresas possuem)
Estrutura de trabalho 
Comunicação com lideranças 
Horários 
</t>
  </si>
  <si>
    <t xml:space="preserve">Refeitório e sala de descanso são quentes, poderíamos climatizados.
Local mais apropriado para as bolsas
Juntar o administrativo ( anexo e galpão)
</t>
  </si>
  <si>
    <t>A empresa no geral é muito boa, claro que como todas outras tem seus pontos de melhoria, a sala de descanso é ótima, ter um espaço para repouso é essencial, porém é quente.
Maior desconto no plano de saúde.
Com o aumento no preço do ramo alimentício, seria interessante que tivéssemos um aumento mais significativo  no vale refeição.</t>
  </si>
  <si>
    <t>Tem um bom espaço e possui boa temperatura ambiente.</t>
  </si>
  <si>
    <t>Possuo todos os materiais necessários para meu trabalho.</t>
  </si>
  <si>
    <t>Concordo que as pessoas fazem além da sua obrigação. Mas não deveria ocorrer isso. Deveria haver um meio para o trabalho ser feito durante o horário de trabalho e não levá-lo além dele.</t>
  </si>
  <si>
    <t>Até agora, sempre me ajudaram com o que eu precisasse.</t>
  </si>
  <si>
    <t>Oferece alguns treinamentos, mas não para todos e, as vezes, não há um treinamento completo. Por exemplo, o de excel foi útil, mas não foi tempo suficiente para absorver o conhecimento.</t>
  </si>
  <si>
    <t>Não possuo uma visão desse tipo no momento.</t>
  </si>
  <si>
    <t>A empresa não reconhece o que é feito. Não há um comentário crítico, que faça a pessoa melhorar.</t>
  </si>
  <si>
    <t>Há empresas que remuneram muito mais. Mesmo uma pessoa possuindo ensino superior, o salário aqui é baixo e não muito atrativo.</t>
  </si>
  <si>
    <t>Infelizmente, sinto que é apenas um emprego. Não me sinto feliz com o que faço.</t>
  </si>
  <si>
    <t>Os novatos, de fato, são bem recebidos pela empresa.</t>
  </si>
  <si>
    <t>Quando preciso de ajuda, sempre há alguém disposto a ajudar.</t>
  </si>
  <si>
    <t>Tenho que discordar. Tanto eu como outros, acredito que não todos, não possuem vontade de trabalhar aqui. Há um certo momento em que o trabalho fica monótono, muito repetitivo.</t>
  </si>
  <si>
    <t>Preciso sempre dar bom dia, gostaria de fazer só meu trabalho e ir para casa, falando o necessário sobre o trabalho. Aqui, eu me sinto obrigado a sorrir sempre, dar bom dia, até em dias que não desejo dar bom dia e há dias que não gostaria de falar com ninguém.</t>
  </si>
  <si>
    <t>Não possuo conhecimento de canais para sugestões e reinvidicações.</t>
  </si>
  <si>
    <t>Acredito que seja o último recurso de qualquer empresa, quando a situação financeira estiver ruim.</t>
  </si>
  <si>
    <t>As pessoas aqui levam seus trabalhos para casa, não tendo o seu momento de lazer. E acho o horário de trabalho puxado. Deveria ser de 8:00 às 16h. Seria um horário perfeito para equilibrar o profissional ao pessoal, fazendo com que a pessoa tenha mais tempo para se qualificar e ter seus momentos de lazer.</t>
  </si>
  <si>
    <t>Conheço muito bem.</t>
  </si>
  <si>
    <t>Sim, ele deixa bem claro.</t>
  </si>
  <si>
    <t>Ele é um ótimo líder, sempre fazendo o possível para não deixar a empresa na mão.</t>
  </si>
  <si>
    <t xml:space="preserve">Com toda certeza. Ultimamente ele tem se dedicado muito a empresa </t>
  </si>
  <si>
    <t>Sim, ele tem me motivado a melhorar profissionalmente.</t>
  </si>
  <si>
    <t>Ele é muito acessível.</t>
  </si>
  <si>
    <t>Não há um treinamento completo. Ele apenas ensina o que se deve fazer e a pessoa se vira.</t>
  </si>
  <si>
    <t>Os erros que são cometidos, geralmente, são bem simples, que não precisaria receber chamado. Fica um clima extremamente chato, como por exemplo, errar uma vírgula, um número, uma palavra, coisas que seriam facilmente corrigidas e não traria grandes problemas.</t>
  </si>
  <si>
    <t>Ele houve nossas sugestões e sempre toma ações com base nelas.</t>
  </si>
  <si>
    <t>Eles nos informam muito bem sobre mudanças.</t>
  </si>
  <si>
    <t>Sim, sempre nos informam o rumo que a empresa está tomando.</t>
  </si>
  <si>
    <t>Em questão de honestidade, ele confia. Apenas nas questões sobre erros no trabalho, ele não confia. Não gosto muito quando ele fala que "não confiaria nem nele, imagine nos outros". Esse tipo de coisa não traz confiança para os colaboradores.</t>
  </si>
  <si>
    <t xml:space="preserve">Ele não prejudica ninguém por causa de suas decisões </t>
  </si>
  <si>
    <t>Sim, nos tratam da mesma forma.</t>
  </si>
  <si>
    <t>Estamos frequentemente mudando o setor para se adequar a ele.</t>
  </si>
  <si>
    <t>Temos autonomia para fazermos algumas coisas.</t>
  </si>
  <si>
    <t>Somente às vezes.</t>
  </si>
  <si>
    <t>Sim, ele da críticas construtivas.</t>
  </si>
  <si>
    <t>Em questão de preconceitos na empresa, aqui ela é excelente.</t>
  </si>
  <si>
    <t xml:space="preserve">Não diria humilhado, mas ele já chegou a ficar com raiva de mim por certos erros e isso fez com que eu me desmotivasse muito, a ponto de querer sair da empresa e sempre com certo receio de chegar na empresa e receber mais reclamação. Isso foi no começo, quando entrei. </t>
  </si>
  <si>
    <t>Conheço pessoas que não se davam bem na empresa</t>
  </si>
  <si>
    <t xml:space="preserve">Pelo menos no meu setor, sim </t>
  </si>
  <si>
    <t>Sim, concordo! Gosto muito das datas festivas.</t>
  </si>
  <si>
    <t>Não vejo esse tipo de coisa aqui na empresa.</t>
  </si>
  <si>
    <t>Eles não sabem falar direito com o funcionário e não conseguem dar críticas construtivas.</t>
  </si>
  <si>
    <t>Sempre evito falar, porque não passam um ar de confiança para que possamos falar com eles. Parece que, se eu for falar com eles eu vou levar uma patada.</t>
  </si>
  <si>
    <t>Sim, nunca fui discriminado pelo minha função.</t>
  </si>
  <si>
    <t>O que eu faço, qualquer outro pode fazer.</t>
  </si>
  <si>
    <t>No começo sim, mas depois se torna um lugar chato.</t>
  </si>
  <si>
    <t>Há fofocas, mas de maneira razoável.</t>
  </si>
  <si>
    <t>Não vejo esse tipo de coisa aqui.</t>
  </si>
  <si>
    <t xml:space="preserve">Não pretendo ficar muito tempo. Provavelmente, menos de um ano. </t>
  </si>
  <si>
    <t>Acredito que os outros setores se dêem bem.</t>
  </si>
  <si>
    <t>Por curto período, ele é um bom lugar. Mas para um período longo, ele não é muito bom.</t>
  </si>
  <si>
    <t>Assistência Médica, Assistência Odontológica, Vale Refeição, Vale Alimentação, Gympass (Convênio Academias)</t>
  </si>
  <si>
    <t>Nem todos os setores comemoram metas. Alguns comemoram e outros não, o que dar um ar de exclusão. Porque os setores comemoram a batida de meta e outros não?</t>
  </si>
  <si>
    <t>A empresa recebe muito bem os novatos, faz distrações/eventos/comemorações para os funcionários não ficarem em um ambiente chato e isso é muito bom, e tem boa estrutura ambiente.</t>
  </si>
  <si>
    <t>O salário, o horário de trabalho e as demandas para os funcionários.</t>
  </si>
  <si>
    <t>Gostaria de sugerir um ambiente fechado e bem climatizado para a área de descanso, porque a empresa possue muito barulho e luz do sol, o torna o ambiente de descanso muito ruim para se descansar. Também gostaria de sugerir um horário de trabalho melhor, para que as pessoas possam ter tempo de lazer e educação, para melhorar profissionalmente e mentalmente. Também, definir melhor as demandas dos funcionários, para que eles não sobrecarreguem ao ponto de levar seu trabalho para casa e fiquem estressados durante o horário de trabalho.</t>
  </si>
  <si>
    <t xml:space="preserve">Temos necessidade de melhoria no ambiente de descanso e vestiários </t>
  </si>
  <si>
    <t>Sinto falta de cursos e treinamentos propostos pela empresa</t>
  </si>
  <si>
    <t>Porém sempre tem aquela pessoa que atrapalha e joga contra pois deseja seguir outros projetos, na minha opinião não vale a pena ter alguém assim no time</t>
  </si>
  <si>
    <t>Assistência Médica, Auxílio Combustível, Auxílio Educação, Gympass (Convênio Academias), Day Off</t>
  </si>
  <si>
    <t xml:space="preserve">Cultura, ambiente saudável e acessibilidade a diretoria </t>
  </si>
  <si>
    <t>Ambiente de descanso, banheiros femininos e planos de cargos e carreiras</t>
  </si>
  <si>
    <t xml:space="preserve">Sem comentários </t>
  </si>
  <si>
    <t>Sim, pelos colaboradores deixar o ambiente mais leve no dia a dia.</t>
  </si>
  <si>
    <t>Nem sempre, tem colaborador que passa por você não dá nem bom dia, imaginar ajudar!</t>
  </si>
  <si>
    <t>Desde que entrei aqui nunca tive um treinamento e nem a oportunidade de crescimento.</t>
  </si>
  <si>
    <t>Zero reconhecimentos temos, temos pessoas que fazer de tudo e não ganham nem parabéns.</t>
  </si>
  <si>
    <t>Fazendo um levantamento de mercado hoje meu salário não chega nem perto do que recebo hoje</t>
  </si>
  <si>
    <t>Zero orgulho, hoje em dia essas pessoas não gostam de ajudar ninguém.</t>
  </si>
  <si>
    <t>Aqui na existe nem comunicação,imagina canal</t>
  </si>
  <si>
    <t>Nunca, aqui temos que ser profissional e pronto</t>
  </si>
  <si>
    <t>Não e mesmo só quer ver resultados estão bem ou não.</t>
  </si>
  <si>
    <t>Não,porque a empresa não disponibiliza qualquer tipo de treinamento.</t>
  </si>
  <si>
    <t>Nunca fui humilhado e nem vi.</t>
  </si>
  <si>
    <t>Não me sinto valorizado e nem que posso fazer diferença</t>
  </si>
  <si>
    <t xml:space="preserve">VALORIZAR MAIS OS COLABORADORES E DA OPORTUNIDADE PRA QUEM QUER INGRESSAR EM OUTRA AREA </t>
  </si>
  <si>
    <t>Ambiente, pessoas, localização</t>
  </si>
  <si>
    <t>Treinamentos, oportunidades, comunicação</t>
  </si>
  <si>
    <t>Muita falta de comunicação e oportunidades e treinamentos.</t>
  </si>
  <si>
    <t>As pessoas aqui são muito solicitas e dispostas a ajudar.</t>
  </si>
  <si>
    <t xml:space="preserve">A empresa tá em fase de expansão e isso gera uma certa expectativa de oportunidade de crescimento, eu acredito que para eu como profissional estar nesse futuro próximo da empresa e necessário que eu me qualifique e busque capacitação para assim eu chegar nesse futuro.
</t>
  </si>
  <si>
    <t>Eu acredito que poderia ter algum tipo de premiação por metas e trabalhos extras alcançados.</t>
  </si>
  <si>
    <t>Os salários e benefícios da empresa são defasados, seria interessante uma criação de plano de cargos e salários para que o colaborador tenha o incentivo de que ele pode crescer dentro da empresa, seria bom a criação de novos benefícios por exemplo: um vale combustível pois a maioria dos colaboradores tem transporte próprio, seria interessante se o plano de saúde e odontológico fosse pago 100% pela empresa, seria bacana a criação de uma premiação por metas batidas e por fim uma participação dos lucros da empresa seria muito interessante.</t>
  </si>
  <si>
    <t>Me sinto muito bem no meu ambiente de trabalho.</t>
  </si>
  <si>
    <t>No setor onde estou inserido eu vejo uma boa camaradagem dos mais antigos com os novatos, agora nós outros setores eu não posso opinar.</t>
  </si>
  <si>
    <t>Acredito que o setor da manutenção seja o mais insatisfeito com a sua situação pois eles acreditam quem tem alguns direitos seus sendo negligenciado por parte da empresa.</t>
  </si>
  <si>
    <t>Para esse tipo de situação acontecer teria um bom motivo por exemplo a empresa está encerrado as operações ou por incompetência por parte dos colaboradores, agora tem um outro ponto também, a empresa vem sofrendo a bastante tempo com baixas e pedidos de demissão de pessoas que realmente fazem a diferença, acredito eu por não se sentir valorizado financeiramente daí quando aparece uma oportunidade de ganhar $$ melhor essa pessoas vão embora e isso é péssimo para empresa pois vai ter o custo da rescisão, o custo de tempo pra achar uma peça de reposição, vai gastar recursos para contratar uma nova pessoa e ainda corre o risco de não da certo, eu tenho notado desde quando eu cheguei que as pessoas não permanecem muito tempo por conta dessas questões que eu citei acima então e uma coisa a se pensar por parte da diretoria pq vcs tem um time bom, e ainda tem um agravante na imagem da empresa por estar sempre contratando as pessoas vêm isso e não querem fazer parte do ti.e por receio.</t>
  </si>
  <si>
    <t>Muito claro essa informação.</t>
  </si>
  <si>
    <t>E uma pessoa muito engajada com as metas e melhorias para empresa.</t>
  </si>
  <si>
    <t>Eu nunca presenciei nada parecido.</t>
  </si>
  <si>
    <t xml:space="preserve">E muito relativo quando a pessoa tem intimidade com a outra sim ela se importa quando não tem intimidade na maioria das vezes as pessoas não se importam </t>
  </si>
  <si>
    <t>No meu setor eu não vejo isso, nos demais eu não posso opinar.</t>
  </si>
  <si>
    <t>Eles são sempre bem acessíveis.</t>
  </si>
  <si>
    <t>Acho que falta só mais um incentivo financeiro.</t>
  </si>
  <si>
    <t>Todo lugar tem e algo que não dá pra se controlar, querendo ou não sempre chega uma gofoca ou outra.</t>
  </si>
  <si>
    <t>Não vejo isso.</t>
  </si>
  <si>
    <t>Se ouver melhorias de salário e benefícios com toda certeza.</t>
  </si>
  <si>
    <t>Assistência Médica, Assistência Odontológica, Auxílio Combustível, Multibenefícios Alimentação/ Refeição, Cesta Básica, Gympass (Convênio Academias), Day Off</t>
  </si>
  <si>
    <t>Se tivesse um vale combustível seria muito bom pois quase rodos os funcionários tem transporte próprio, e se o plano de saúde é odontológico fosse 100% pago pela empresa seria um grande diferencial, a cesta básica seria muito bom ajudaria bastante, e o va/VR está excelente foi feita u.a melhoria para o flash e tem sido uma boa experiência pois aceita em todo lugar, antes era muito limitado a utilização, seria bacana se ouve-se um aumento no valor.</t>
  </si>
  <si>
    <t xml:space="preserve">Liderança, ambiente/cultura, paga os seus compromissos financeiros com os colaboradores em dias </t>
  </si>
  <si>
    <t>Reestruturação e reformulação de cargos, salários e benefícios, estrutura física tem pouco espaço e alguns setores precisam de reforma,</t>
  </si>
  <si>
    <t>Olhem com carinho para as sugestões dadas, pois um colaborador feliz produz e entrega mais.</t>
  </si>
  <si>
    <t>O barulho gerado pelos testes dos equipamentos, juntamente com a poeira e os resíduos de gasolina e óleo, prejudicam o desempenho de algumas atividades.</t>
  </si>
  <si>
    <t>Ótimo notebook e serviço de assistência sempre prestativo quando acionado.</t>
  </si>
  <si>
    <t xml:space="preserve">Acredito que, com os valores integrados à Nordeste, como o valor: Não há hierarquia para boas ideias, as pessoas são incentivadas a trazer melhorias visto que aplicadas na prática e testadas </t>
  </si>
  <si>
    <t>Os colaboradores não têm restrições quanto ao compartilhamento de conhecimento e, sempre que preciso de ajuda, recebo total atenção.</t>
  </si>
  <si>
    <t>Para alguns setores, como a manutenção, onde os mecânicos recebem pontos a cada melhoria realizada, seria interessante implementar algum tipo de bonificação ou premiação como forma de reconhecer e incentivar esses esforços extras.</t>
  </si>
  <si>
    <t xml:space="preserve">Tenho a capacidade de implementar melhorias e processos que não apenas beneficiam meu setor, mas também trazem resultados positivos para a Nordeste como um todo. </t>
  </si>
  <si>
    <t xml:space="preserve">Um omboarding sensacional </t>
  </si>
  <si>
    <t>Ambiente físico poderia ser melhor, visto que no PCM ficamos ao lado do setor da manutenção e ruidos, poeira e resíduos de gasolina e oleo podem nos afetar.</t>
  </si>
  <si>
    <t>Competitividade para crescimento profissional, buscando melhorar.</t>
  </si>
  <si>
    <t xml:space="preserve">Quero me desenvolver como profissional e pessoa na Nordeste, aqui minhas ideias de melhorias são ouvidas, colocadas em prática e aplicadas para melhorar o dia a dia no trabalho e também </t>
  </si>
  <si>
    <t>Cultura organizacional de crescimento muito importante e traz um nível de competitividade diferente para o mercado.
Os valores intrínsecos que estão estampados nas camisas sempre como o dia a dia funciona.
A possibilidade de crescimentos horizontal.</t>
  </si>
  <si>
    <t>Infraestrutura de alguns setores.
Padronização de processos.
Plano de carreira e desenvolvimento mais claro.</t>
  </si>
  <si>
    <t>Só vejo problema com as pilhas, acabam muito rápido.</t>
  </si>
  <si>
    <t>Percebo que esse reconhecimento acontece, mas não é aplicado a todas as áreas. Creio que isso parta mais da gestão das áreas, está presente e dizer obrigado não significam reconhecimento.</t>
  </si>
  <si>
    <t>Existem muitas empresas com esse segmento, e em sua maioria a base é sempre maior, o fator que agrega e faz o funcionário permanecer na Nordeste é o ambiente e necessidade.</t>
  </si>
  <si>
    <t xml:space="preserve">Tem sim, mas é pelo fator de crescimento e aprendizado. </t>
  </si>
  <si>
    <t>Algumas pessoas sim.</t>
  </si>
  <si>
    <t xml:space="preserve">Não posso opinar sobre a vontade dos outros, mas não vejo isso em ninguém. </t>
  </si>
  <si>
    <t>Não vejo isso, ainda mais que muitas trabalham fora do expediente normal para poder cumprir as demandas, por isso não tem como ter esse equilíbrio.</t>
  </si>
  <si>
    <t>As vezes sim, mas sempre tem erros que não podem ser pensados dessa maneira.</t>
  </si>
  <si>
    <t xml:space="preserve">A maioria das vezes, acha um ponto que precisa melhorar, ou seja crítica mais que elogio. </t>
  </si>
  <si>
    <t>As vezes passa inúmeras demandas e quer todas ao mesmo tempo.</t>
  </si>
  <si>
    <t>Algumas vezes entra um pouco em contradição.</t>
  </si>
  <si>
    <t>Após a mudança de gestão alguns setores foram penalizado. A maioria ainda continua tendo suas comemorações como comercial e o financeiro é um dos penalizado e sem explicação, até porque não tem nada que justifique.</t>
  </si>
  <si>
    <t>Em todos os ambientes existem isso.</t>
  </si>
  <si>
    <t xml:space="preserve">Esperava isso quando entrei, mas não vejo essa valorização. </t>
  </si>
  <si>
    <t>A empresa tem tudo para crescer, então por hora, pretendo ficar.</t>
  </si>
  <si>
    <t xml:space="preserve">A questão médica é excelente, mas os valores são elevados. </t>
  </si>
  <si>
    <t>Ambiente, pessoa, horário.</t>
  </si>
  <si>
    <t>1 - Remuneração (até porque alguns setores ganharam o retroativo e os outros não.
2 - Melhorar os valores do plano de saúde.
3 - Voltar as comemorações de metas.</t>
  </si>
  <si>
    <t>Os dias do carnaval serem pagos em um sábado, e não ficar de maneira fracionada.</t>
  </si>
  <si>
    <t>Precisa ter mais segurança, onde estamos todos correndo risco de ser assaltados dentro da empresa, pois qualquer pessoa atualmente pode entrar, e fazer o que bem entender, não temos recepção ou até mais um porteiro "segurança". Acredito que deve pensar mais sobre a segurança interna dos colaboradores e adotar medidas que controle essas entradas de pessoas não identificadas, como ambulantes, vendedores, que entram e não tem ninguém para impedir isso.</t>
  </si>
  <si>
    <t xml:space="preserve">Precisa melhorar o ambiente, ergonomia principalmente, cadeiras e altura de trabalho dos notebooks. Ambiente muito exposto a ruído e poeiras. </t>
  </si>
  <si>
    <t>Salário abaixo em relação ao mercado</t>
  </si>
  <si>
    <t>Nunca aconteceu isso</t>
  </si>
  <si>
    <t>Isso não acontece</t>
  </si>
  <si>
    <t>Não existe</t>
  </si>
  <si>
    <t>Auxílio Combustível, Auxílio Educação, Seguro de Vida, Gympass (Convênio Academias), Day Off</t>
  </si>
  <si>
    <t>Plano de saúde 100% para todos os colaboradores, independente de quem já tem esse direito adquirido anos atrás.</t>
  </si>
  <si>
    <t>Cultura, sua visão para o futuro e ambiente de trabalho agradável para trabalhar.</t>
  </si>
  <si>
    <t>Infraestrutura, segurança e benefícios</t>
  </si>
  <si>
    <t xml:space="preserve">Apenas melhorar a infraestrutura da empresa, segurança e apresentar mais benefícios aos colaboradores, isso vai fazer com que todos nós colaboradores se sente bem ao sair de casa e voltar pra casa, sabendo que o dia a dia do trabalho foi bom e que somos valorizados. E não se esquecer de que quem move a empresa, são as pessoas. </t>
  </si>
  <si>
    <t>Nunca tive essa experiência, vejo uma boa conduta.</t>
  </si>
  <si>
    <t>Nunca presenciei tal ação.</t>
  </si>
  <si>
    <t>Nao presenciei tal ação.</t>
  </si>
  <si>
    <t>"Na grande maioria", só vejo pessoas dispostas a exercer sua função.</t>
  </si>
  <si>
    <t>Assistência Médica, Auxílio Combustível, Vale Alimentação, Auxílio Educação, Seguro de Vida</t>
  </si>
  <si>
    <t>Reconhecimento de que os colaboradores  são a essência da empresa.
Eventos, gincanas e datas comemorativas que existem para descontração do colaborador.
Reconhecimento pelo bom trabalho.</t>
  </si>
  <si>
    <t xml:space="preserve">Piso da área de oficina.
Iluminação da área de oficina.
Espaço para organização de máquinas, peças, e trabalho dos mecânicos </t>
  </si>
  <si>
    <t>Nada mais a comentar.</t>
  </si>
  <si>
    <t>Mas não de todos</t>
  </si>
  <si>
    <t xml:space="preserve">Ajuda os diretores,a crece para gerar empregos </t>
  </si>
  <si>
    <t xml:space="preserve">Aqui as pessoas são bem acolhida </t>
  </si>
  <si>
    <t>Acredito que só ei, questão financeira.</t>
  </si>
  <si>
    <t xml:space="preserve">Sim,mas por os diretores e colegas,pq a supervisão deixa a desejar </t>
  </si>
  <si>
    <t xml:space="preserve">Pq eles vevi muito no mundinhi dles,e não procuram saber oque está sr passando por de traz de um funcionário </t>
  </si>
  <si>
    <t>Não,pq se ele demonstrasse interesse não tinha muito funcionário desmotivado,colocando culpa na empresa ou nos diretores,pq nem tudo os diretores sabe</t>
  </si>
  <si>
    <t xml:space="preserve">Não vejo maturidade  pra ele ta nesse cargo que ele está alcupado,não tem ética no que ele escuta </t>
  </si>
  <si>
    <t>Não,as vezes escuta mas não atribuir</t>
  </si>
  <si>
    <t xml:space="preserve">Nem todos,mas tem muitos que se coloca no lugar do outro </t>
  </si>
  <si>
    <t>Era pra tem comemoração de metas dos mecânicos</t>
  </si>
  <si>
    <t xml:space="preserve">São umas pessoas que sabe escutar,mas tbem saber aconselha </t>
  </si>
  <si>
    <t>São chefe,mas tbem São amigos</t>
  </si>
  <si>
    <t>Qro crece e ajuda a empresa crece muito mas</t>
  </si>
  <si>
    <t>Assistência Médica, Assistência Odontológica, Auxílio Combustível, Multibenefícios Alimentação/ Refeição, Auxílio Educação, Cesta Básica, Seguro de Vida, Gympass (Convênio Academias), Day Off</t>
  </si>
  <si>
    <t xml:space="preserve">Que assistência médica seja 100 ajuda muito </t>
  </si>
  <si>
    <t xml:space="preserve">O horas </t>
  </si>
  <si>
    <t xml:space="preserve">Sala de descanso climatizadas,e tbem o refeitório </t>
  </si>
  <si>
    <t xml:space="preserve">Banheiros masculino precisa de reforma </t>
  </si>
  <si>
    <t xml:space="preserve">Se a empresa tem em mente ser a locadora número 1 do nordeste ,no meu entendimento tem que ser exemplo de mercado em relação a salário,não se compara a outra </t>
  </si>
  <si>
    <t xml:space="preserve">Líder sim , supervisor não </t>
  </si>
  <si>
    <t xml:space="preserve">Supervisor quer  da exemplo,mais não que ser exemplo </t>
  </si>
  <si>
    <t>Poderia valorizar mais ,não acho certo uma pessoa trabalhar,dar  resultados acima da meia e receber o mesmo de outra pessoa da mesma função.</t>
  </si>
  <si>
    <t xml:space="preserve">Dia de amanhã só pertence a Deus 
</t>
  </si>
  <si>
    <t>Assistência Médica, Assistência Odontológica, Auxílio Combustível, Multibenefícios Alimentação/ Refeição, Cesta Básica</t>
  </si>
  <si>
    <t xml:space="preserve">Comprimento com folha de pagamento.
Valorização de pessoas novos no mercado de trabalho .
Momentos para descontrair 
</t>
  </si>
  <si>
    <t xml:space="preserve">Tem mais benefícios 
Melhores acomodações 
Melhores condições de trabalho </t>
  </si>
  <si>
    <t xml:space="preserve">Faltou falar diretamente do supervisor,só tinha lider , meio que deixou de lado a responsabilidade dele.
Na aria de benefícios, seria um boa ,ter colocado só os que a empresa não oferece.
</t>
  </si>
  <si>
    <t>É necessário ser mais claro</t>
  </si>
  <si>
    <t>Auxílio Combustível, Cesta Básica, Day Off</t>
  </si>
  <si>
    <t xml:space="preserve">Dinâmica 
Em evolução sempre 
Confraterniza </t>
  </si>
  <si>
    <t xml:space="preserve">Olhar com mais afeto para os funcionários 
Falar e cumprir 
Observar as pessoas que estão nos cargos de liderança. </t>
  </si>
  <si>
    <t>ND</t>
  </si>
  <si>
    <t>Auxílio Combustível, Auxílio Educação, Cesta Básica, Seguro de Vida, Empréstimo Consignado</t>
  </si>
  <si>
    <t xml:space="preserve">Ótimos donos, bons líderes e colaboradores </t>
  </si>
  <si>
    <t xml:space="preserve">Na minha opinião tá tudo em ordem </t>
  </si>
  <si>
    <t>A empresa é ótima pra se trabalhar..</t>
  </si>
  <si>
    <t xml:space="preserve">Eu concordo que a empresa disponibiliza oportunidade de crescimento é da desafios que incentivam o desenvolvimento pessoal, no entanto gostaria que a empresa disponibiliza alguns cursos ou treinamento, para podemos aprimorar algumas habilidades como liderança. </t>
  </si>
  <si>
    <t xml:space="preserve">Por mais que a empresa seja maravilhosa, dando oportunidade para desenvolvimento dando espaço para crescer o a remuneração ainda está abaixo do mercado. </t>
  </si>
  <si>
    <t xml:space="preserve">Gosto muito do que faço na Nordeste. </t>
  </si>
  <si>
    <t xml:space="preserve">Não consigo opinar de forma correta, pois não estou ciente dos pensamentos dos demais, mas por mim, sim, tenho bastante vontade de vir ao trabalho. </t>
  </si>
  <si>
    <t xml:space="preserve">Essa pergunta é muito abrange, não há um definição sólida, necessidade como pessoa? Como líder ou com foco em metas? </t>
  </si>
  <si>
    <t xml:space="preserve">Só participei de um evento assim. </t>
  </si>
  <si>
    <t xml:space="preserve">Creio que sim, nunca percebi nada que me levasse ao contrário. </t>
  </si>
  <si>
    <t>Habitante da empresa é maravilhoso.</t>
  </si>
  <si>
    <t xml:space="preserve">Sempre ha fofocas. </t>
  </si>
  <si>
    <t>Assistência Médica, Assistência Odontológica, Auxílio Combustível, Gympass (Convênio Academias), Seria ótimo se a empresa ajudasse os funcionários com um financiamento, como carteira de motorista.</t>
  </si>
  <si>
    <t>Ambiente, fácil comunicação e da oportunidade para crescer.</t>
  </si>
  <si>
    <t>Salário, disponibiliza um auxílio combustível e aumentar a área de descanso e colocar um ar-condicionado.</t>
  </si>
  <si>
    <t xml:space="preserve">A maioria das pessoas sim, outras fazem algumas atividades, mas o “além” nem sempre! </t>
  </si>
  <si>
    <t>Nunca vi, pelo contrário vejo uma postura muito bacana da nossa liderança!</t>
  </si>
  <si>
    <t>Acredito que sempre tem, mas vejo a empresa se empenhando em quem de fato se esforça!</t>
  </si>
  <si>
    <t>Demais! São muito acessíveis, coisas que em outras empresas é algo muito distante!</t>
  </si>
  <si>
    <t>Comigo nunca aconteceu, mas já presenciei com alguns colegas!</t>
  </si>
  <si>
    <t xml:space="preserve">Com certeza! </t>
  </si>
  <si>
    <t>Assistência Médica, Assistência Odontológica, Auxílio Combustível, Vale Refeição, Enxoval Maternidade, Gympass (Convênio Academias)</t>
  </si>
  <si>
    <t xml:space="preserve">Nos divertimos enquanto trabalhamos haha, vale alimentação, oportunidade de crescimento </t>
  </si>
  <si>
    <t xml:space="preserve">Plano de saúde (com mais desconto), sala de descanso, vale combustível </t>
  </si>
  <si>
    <t xml:space="preserve">Finalizando, vejo a Nordeste como uma empresa excelente para se trabalhar! E os demais pontos foram citados acima! </t>
  </si>
  <si>
    <t>Em todas as empresas eu passei aqui pode se dizer que o ambiente é bem agradável, pessoal tudo se ajuda, tira dúvidas e é tão bom que as vezes nem pensamos em faltar o trabalho pois o ambiente é agradável.</t>
  </si>
  <si>
    <t>Salário não é tão ruim mas também não é bom, pelo o esforço que eu faço pra deixar tudo perfeito para que não venha problema tanto pra mim, pra empresa e pro cliente onde é por ele que a empresa consegue pagar nossos salários! Tento deixar o máximo possível fazer aquilo funcionar por muito mais tempo, ter zelo pelo o patrimônios da empresa, então eu gostaria de ganhar um pouco mais.</t>
  </si>
  <si>
    <t>Eu amo que eu faço, por isso me dar mais vontade trabalhar aqui.</t>
  </si>
  <si>
    <t>Vejo que quando eu cheguei aqui fui bem recebido e tratado assim que vejo os outros funcionários novos chegarem.</t>
  </si>
  <si>
    <t xml:space="preserve">Tenho algumas pessoas que não levo como colegas de trabalho mas sim, comos amigos que posso contar sempre! </t>
  </si>
  <si>
    <t>Por mim eu tenho vontade de trabalhar, me espelho em algumas pessoas, quero construir uma carreira aqui.</t>
  </si>
  <si>
    <t>Até agora só vim um canal que mostra pra gente dar nossos sugestões.</t>
  </si>
  <si>
    <t>Penso isso sempre, mas pode até alguns motivos como troca de gestão ou diminuição de custos.</t>
  </si>
  <si>
    <t>Sinto ele muito ausente, mal participando nas reuniões conosco.</t>
  </si>
  <si>
    <t>Raramente falo com ele.</t>
  </si>
  <si>
    <t xml:space="preserve">Vejo algumas pessoas ser tratadas bem diferente que as outras </t>
  </si>
  <si>
    <t>Acho bom feedback, assim mostra como precisamos melhorar como profissional e pessoal.</t>
  </si>
  <si>
    <t>Acho que algumas pessoas se importam mais com elas .</t>
  </si>
  <si>
    <t>Pelo menos no meu setor não comemorarmos metas batidas.</t>
  </si>
  <si>
    <t xml:space="preserve">
.</t>
  </si>
  <si>
    <t>Até agora nunca vi isso e espero nunca ver.</t>
  </si>
  <si>
    <t>Gostaria crescer profissionalmente aqui.</t>
  </si>
  <si>
    <t>Gostaria muito que a empresa adotasse vale combustível, onde poderia calcular a passagem do ônibus e colocar no vale combustível, vejo muito funcionário vindo com veículos próprio e a pessoa poderia escolher se quer vale combustível ou transporte.</t>
  </si>
  <si>
    <t xml:space="preserve">Ambiente e pessoas </t>
  </si>
  <si>
    <t>Espaço</t>
  </si>
  <si>
    <t xml:space="preserve">A nordeste é um dos melhores lugares q eu já trabalhei. </t>
  </si>
  <si>
    <t xml:space="preserve">Sim todos, só poderia trocar os fardamentos com mais frequência e a gente que trabalhamos junto aos mecânicos ( pcm e estagiário), deveria receber calça tbm pois a nossa se desgasta muito. </t>
  </si>
  <si>
    <t xml:space="preserve">Nem todos estão sempre disponíveis para ajudar </t>
  </si>
  <si>
    <t xml:space="preserve">A empresa está abrindo novas sede e com isso mais oportunidades estão aparecendo. </t>
  </si>
  <si>
    <t xml:space="preserve">Poderia melhorar os salários e principalmente as bolsas dos estagiários. </t>
  </si>
  <si>
    <t>E nesse emprego q eu quero ter um crescimento profissional.</t>
  </si>
  <si>
    <t xml:space="preserve">É muito bom o primeiro contato que a gente tem com a empresa, foi o meu melhor dia em uma empresa. </t>
  </si>
  <si>
    <t xml:space="preserve">Sempre que eu falo que trabalho aqui todo mundo fala muito bem e q queria fazer parte do time, o marketing da nordeste ajuda muito. </t>
  </si>
  <si>
    <t xml:space="preserve">Muitas das vezes eu fico sem ter o que fazer. Smp tenho q tá perguntando aos outros sobre atividades para eu fazer. </t>
  </si>
  <si>
    <t>O líder Alexandre sempre tem um favoritismo na escolha dos melhores do mês, smp tem um que smp está entre, e eu soube q acontece coisas para esse mecânico perder pontos e o mesmo não perde assim acontece um mau estar entre os mecânicos .</t>
  </si>
  <si>
    <t xml:space="preserve">Vitor sempre me passa os Feedback necessários. </t>
  </si>
  <si>
    <t xml:space="preserve">Vitor smp deixa aberto para conversar e resolver problemas. </t>
  </si>
  <si>
    <t xml:space="preserve">Nem sempre eu sabendo do que está acontecendo na nordeste. </t>
  </si>
  <si>
    <t xml:space="preserve">O líder Alexandre nem tanto assim, o Vitor trata todos da mesma forma. </t>
  </si>
  <si>
    <t xml:space="preserve">Sim o Vitor sempre me dá feedbacks </t>
  </si>
  <si>
    <t>Hoje foi registrado um erro meu como lembrete em uma aba no Sisloc, o qual foi destacado como um lembrete visível para todos, incluindo meu nome e a descrição do erro. Fiquei sem compreender o motivo de apenas o meu erro ter sido destacado dessa maneira, pq nunca aconteceu de ser colocado esse tipo de informação.Os PCM informaram que o Alexandre orientou que esse lembrete fosse colocado.</t>
  </si>
  <si>
    <t xml:space="preserve">A nordeste sempre se destaca nesse ponto, parabéns. </t>
  </si>
  <si>
    <t xml:space="preserve">Em qualquer lugar existe fofoca. </t>
  </si>
  <si>
    <t>Multibenefícios Alimentação/ Refeição, Enxoval Maternidade, Cesta Básica, Empréstimo Consignado, Gympass (Convênio Academias), Kit Baby, Day Off</t>
  </si>
  <si>
    <t xml:space="preserve">Poderia aumento do valor destinado à alimentação dos estagiários. Não compreendo a razão pela qual recebemos apenas metade do valor estipulado para esse benefício, visto que nos alimentamos do msm jeito q os outros colaboradores da empresa. Só temos duas horas a menos. </t>
  </si>
  <si>
    <t>Oportunidade de aprendizado e desenvolvimento profissional.
Ambiente colaborativo e integração entre as equipes.
Suporte aos funcionários.</t>
  </si>
  <si>
    <t xml:space="preserve">A bolsa estágio poderia aumentar 
O vale alimentação dos estagiários
</t>
  </si>
  <si>
    <t xml:space="preserve">Sala de repouso poderia passar por melhorias, lá é muito quente, só gratidão por fazer parte desse time. Grato </t>
  </si>
  <si>
    <t xml:space="preserve">Um bom ambiente </t>
  </si>
  <si>
    <t xml:space="preserve">Creio que os salários poderiam ser melhorados </t>
  </si>
  <si>
    <t xml:space="preserve">Poderiam melhorar a comunicação entre RH e os outros setores </t>
  </si>
  <si>
    <t xml:space="preserve">Nunca vi nenhuma atitude nesse sentido </t>
  </si>
  <si>
    <t>Assistência Médica, Auxílio Combustível, Cesta Básica, Seguro de Vida, Gympass (Convênio Academias)</t>
  </si>
  <si>
    <t xml:space="preserve">Um dos motivos de eu ter tirado meu plano de saúde foi a quando quantia descontado no meu salário,  então em um caso de plano com uma porcentagem maior de desconto seria se suma importância para mim , já que tenho uma condição forte de alergia , e o auxílio combustível seria importante não só pra mim como pra todas as pessoas da empresa que yem que fazer o deslocamento todos os dias </t>
  </si>
  <si>
    <t xml:space="preserve">Bom relacionamento interno em seus setores , um dos pontos fortes da cultura que é não a hierarquia para boas ideias e isso me fez chegar onde estou hoje, proximidade com a gestão </t>
  </si>
  <si>
    <t xml:space="preserve">Seria no caso os vestiários e banheiros,  podem ser melhorados para uma melhor situação, a relação do plano de saúde com uma porcentagem maior de desconto e auxílio combustível </t>
  </si>
  <si>
    <t xml:space="preserve">Tudo que tinha pra dizer já foi relatado </t>
  </si>
  <si>
    <t>Algumas pessoas são bem dispostas a ajudar, porém com algumas não se aplica a "vontade genuína de ajudar".</t>
  </si>
  <si>
    <t>A grande maioria das pessoas são pacientes e ajudam no máximo que podem. No entanto, já passei por situações em que eu tive que aguentar grosseria por "pedir ajuda".</t>
  </si>
  <si>
    <t>Já houveram situações em que demitiram pessoas que não mereciam.</t>
  </si>
  <si>
    <t>Nunca é demais, acredito que poderia sim ter um melhor comprometimento.</t>
  </si>
  <si>
    <t>Tratamos questões de trabalho e fora isso não importa. Se não for por trabalho, não conversamos.</t>
  </si>
  <si>
    <t xml:space="preserve">Em questão de trabalho, da o suporte necessário. </t>
  </si>
  <si>
    <t>Aceita bem as ideias e ajuda a por em prática.</t>
  </si>
  <si>
    <t>Seu discurso sempre é de crescimento para o seu time.</t>
  </si>
  <si>
    <t>Para os mais próximos sim.</t>
  </si>
  <si>
    <t>Os mais próximos tem mais vantagens.</t>
  </si>
  <si>
    <t>Sabe abordar os pontos de melhoria.</t>
  </si>
  <si>
    <t xml:space="preserve">Sabe conversar quando necessário e não humilha ninguém, embora tenha um grande erro ocorrido. </t>
  </si>
  <si>
    <t>Nem todas, mas posso dizer que a grande maioria sim.</t>
  </si>
  <si>
    <t>Pessoas bem abertas a ajudar e ouvir o que quer que seja.</t>
  </si>
  <si>
    <t>Acredito que em alguns setores poderia ser levado em consideração mais a seriedade no ambiente de trabalho e vontade genuína de ajudar.  E começar a incluir todas as pessoas em tudo, não sendo somente aquela panelinha. Pois fazer parte de um setor e não ser de fato "inserido" nele, não é agradável e não se torna um "excelente" ambiente de trabalho.</t>
  </si>
  <si>
    <t>Assistência Médica, Assistência Odontológica, Refeição na Empresa, Vale Alimentação, Multibenefícios Alimentação/ Refeição, Cesta Básica, Empréstimo Consignado, Gympass (Convênio Academias), Day Off</t>
  </si>
  <si>
    <t xml:space="preserve">Oportunidade de crescimento e são bons ouvintes no que for necessário (gestão). </t>
  </si>
  <si>
    <t>Ar condicionado na sala de descanso, fornecer almoço na empresa, aumentar o vale alimentação.</t>
  </si>
  <si>
    <t>Acredito que tudo já foi registrado anteriormente.</t>
  </si>
  <si>
    <t>Falta de espaço no setor da manutenção
Alguns reajustes no vestiário
Falta de banheiro para colaboradores 
Falta de espaço para área de descanso</t>
  </si>
  <si>
    <t>Motos da manutenção externa precisam ser mais avaliadas e fazer manutenção preventiva
Falta de celular para o técnico de manutenção para realizar evidência de fotos</t>
  </si>
  <si>
    <t>A empresa está numa posição boa no mercado de locações só tem que oferecer melhorias para os colaboradores.</t>
  </si>
  <si>
    <t>Em tudo na vida que faço, eu faço de coração e dou meu melhor.</t>
  </si>
  <si>
    <t xml:space="preserve">Nem Jesus agradou todo mundo, então nem todas as pessoas da empresa tipo outros "setor" se gostam, se dão bem. </t>
  </si>
  <si>
    <t>Sim, com certeza.</t>
  </si>
  <si>
    <t>Setor da manutenção passa o que ocorre para os líderes e supervisores... Só não temos retorno de nada, pode ser que eles passam pra diretoria e por isso fica não sei, mas retorno mesmo não temos.</t>
  </si>
  <si>
    <t>No momento que ela perceber que o colaborador não está dando resultado, é demissão na certa.</t>
  </si>
  <si>
    <t>Profissional até que ainda vai, mas pessoal cada caso é um caso e totalmente diferente.</t>
  </si>
  <si>
    <t>Interesse nenhum, somente como empregado e mal kk.</t>
  </si>
  <si>
    <t>Eles escuta com um ouvido e deixa passar em branco com o outro.</t>
  </si>
  <si>
    <t>Um olho no peixe e outro no gato.</t>
  </si>
  <si>
    <t>Tem uns que são mais privilegiados.</t>
  </si>
  <si>
    <t xml:space="preserve">Manutenção tá uma bagunça </t>
  </si>
  <si>
    <t xml:space="preserve">Em algumas situações sim e em outras situações não.
PS: manutenção </t>
  </si>
  <si>
    <t xml:space="preserve">Não 
Ass: manutenção </t>
  </si>
  <si>
    <t>Cada um por si</t>
  </si>
  <si>
    <t>O que o líder da manutenção passa para os colaboradores é que nunca batemos a meta.... Todos os setores fazem comemoração de metas só não da manutenção.</t>
  </si>
  <si>
    <t>Sim sim kkk</t>
  </si>
  <si>
    <t xml:space="preserve">Tempo é muito corrido tanto pra nós colaborador da manutenção quanto pra eles que é pra resolver praticamento tudo.
Ass: manutenção </t>
  </si>
  <si>
    <t>Sim, tem muitas kkk.</t>
  </si>
  <si>
    <t>E como tem, galera da logística querem ser mais do que a galera da manutenção e leva pro coração mesmo.</t>
  </si>
  <si>
    <t>Discordo porque tenho sonho de ser empreendedor.</t>
  </si>
  <si>
    <t xml:space="preserve">Não manutenção é isolada
Ass: Mecânico </t>
  </si>
  <si>
    <t>Não é um dos piores e nenhum dos melhores.</t>
  </si>
  <si>
    <t>Assistência Médica, Auxílio Combustível, Celular, Refeição na Empresa, Seguro de Vida</t>
  </si>
  <si>
    <t>Para as pessoas que tem transportes era justo receber auxílio combustível.</t>
  </si>
  <si>
    <t>Boa noite mercado de trabalho.</t>
  </si>
  <si>
    <t>Muitas coisas, principalmente no setor da manutenção.</t>
  </si>
  <si>
    <t>1• segurança; ambientes com sinalizadores, saídas de seguranças, e equipamentos de acidentes obistruiodos. 
2• área de descanso; ambiente sem espaço, falta de corrida de ar.
3• oficina; pouco espaço, ambiente super perigoso, ambiente onde pessoas que não fazem parte da oficina transitando sem EPI’s.</t>
  </si>
  <si>
    <t>A gestão é um pouco ausente em certos aspectos.</t>
  </si>
  <si>
    <t xml:space="preserve">Em questão ao o empregador é bom, mas os empregados são de lado. </t>
  </si>
  <si>
    <t xml:space="preserve">Pouco reconhecimento. </t>
  </si>
  <si>
    <t>Em questão a alguns aspectos, não são bem remuneradas, as vezes fazem mais do que deveria ser feito na função, e não são beneficiados por isso.</t>
  </si>
  <si>
    <t>Graças a Deus faz um grande sentido! Seguir um plano de carreira.</t>
  </si>
  <si>
    <t>Depende do setor.</t>
  </si>
  <si>
    <t>Em questão a liderança, a preocupação é devido as metas.</t>
  </si>
  <si>
    <t>Ele escuta, só não executa!</t>
  </si>
  <si>
    <t>Deixa muitas dúvidas!</t>
  </si>
  <si>
    <t xml:space="preserve">Fica em cima direto ! </t>
  </si>
  <si>
    <t>Se for algo que ele vá atrás.</t>
  </si>
  <si>
    <t>Assistência Médica, Assistência Odontológica, Auxílio Combustível, Celular, Refeição na Empresa</t>
  </si>
  <si>
    <t xml:space="preserve">Os 3 melhores do mês, na oficina.
As campanhas todos os meses, se preocupando com a saúde do empregado.
Questão salarial no dia. </t>
  </si>
  <si>
    <t>Segurança, ambiente de descanso e aumento da área da oficina.</t>
  </si>
  <si>
    <t>Ter em ambiente um técnico de segurança, melhoria dos vestiários.</t>
  </si>
  <si>
    <t>Assistência Médica, Auxílio Combustível, Vale Refeição, Vale Alimentação, Day Off</t>
  </si>
  <si>
    <t>Ambiente acolhedor, Bons benefícios, Vontade de crescer da Diretória.</t>
  </si>
  <si>
    <t>Canais de comunicação interna, fornecer mais treinamento aos funcionários e flexibilizar o horário e local de trabalho.</t>
  </si>
  <si>
    <t>No geral é uma boa empresa para trabalhar.</t>
  </si>
  <si>
    <t xml:space="preserve">Poderia ser melhor, equipamentos e layouts gastos e manuseio inadequado </t>
  </si>
  <si>
    <t>Acredito que deveria ser mais forte esse trabalho, para q com isso existisse profissionais mais capacitado, principalmente Colaboradores novos</t>
  </si>
  <si>
    <t>na grande maioria das vezes ouvem, porem sem resultados no decorrer do tempo</t>
  </si>
  <si>
    <t xml:space="preserve">por mais q sejamos um "time" existem pessoas que olham apenas para dentro. </t>
  </si>
  <si>
    <t>Ajuda Genuina, Fazer o que é certo, Crescimento</t>
  </si>
  <si>
    <t>infraestrutura, mais exclarecimto sobre projetos... ,</t>
  </si>
  <si>
    <t>Gostaria q fossse aprovada o vale combustivel e GymPass</t>
  </si>
  <si>
    <t xml:space="preserve">Gente boa </t>
  </si>
  <si>
    <t xml:space="preserve">Algumas querem ser mais que a outra por motivo de ser um setor mais acessível </t>
  </si>
  <si>
    <t>Só poderia melhorar nos benefícios.</t>
  </si>
  <si>
    <t>Assistência Médica, Assistência Odontológica, Auxílio Combustível, Vale Alimentação, Seguro de Vida</t>
  </si>
  <si>
    <t xml:space="preserve">Segurança de trabalho.os equipamento de trabalho.e a preocupação pela sua segurança de trabalho </t>
  </si>
  <si>
    <t>Que venha olhar mais para todos os setores independentes qual for 
Poderia ver o caso da salubridade para algum setor mais importante que preciso mais importante. É isso obrigado.</t>
  </si>
  <si>
    <t xml:space="preserve">Espero que alguém veja e possa fazer algo mesmo e que não fique só na pesquisa obrigada </t>
  </si>
  <si>
    <t>Ambiente muito agradável para trabalhar.</t>
  </si>
  <si>
    <t xml:space="preserve">Falta algumas coisas ainda, mas que pode melhorar para dar mais autonomia para o colaborador realizar melhor seu serviço. </t>
  </si>
  <si>
    <t>Ainda existe pessoas que não estão com o foco total para entregar aquilo que tem que ser entregue, principalmente no setor da manutenção.</t>
  </si>
  <si>
    <t>Tem algumas pessoas que podemos contar.</t>
  </si>
  <si>
    <t xml:space="preserve">Precisa melhorar na questão de treinamento e o que seria ideal para isso era ter um calendário de treinamentos junto com fornecedores e parceiros para melhorar o desenvolvimento dos colaboradores aqui dentro da empresa. Assim deixaria o time de colaboradores muito mais qualificada. </t>
  </si>
  <si>
    <t xml:space="preserve">Ainda não tenho uma visão futura, pois cheguei ao teto do meu cargo, espero que meus gestores já tenham ideia para desenvolver outras possibilidades aqui dentro da empresa para continuar com o crescimento. </t>
  </si>
  <si>
    <t xml:space="preserve">Sim, mesmo assim pode melhorar na questão do reconhecimento do colaborador </t>
  </si>
  <si>
    <t xml:space="preserve">Sinto que pode melhorar o piso salarial que também seria o diferencial da empresa com ás concorrentes para não perder colaboradores que apresentam ótimo trabalho e entregam resultados. </t>
  </si>
  <si>
    <t>Como o ambiente aqui é bem leve fica melhor de trabalhar e de lhe dar com as outras pessoas.</t>
  </si>
  <si>
    <t>Sim, o ambiente leve ajuda as outras pessoas que estão chegando na empresa se sentirem confortáveis para trabalharem.</t>
  </si>
  <si>
    <t>Algumas sim.</t>
  </si>
  <si>
    <t xml:space="preserve">Sim, me sinto muito bem aqui. </t>
  </si>
  <si>
    <t>Sinto falta disso no dia a dia quando vejo algo que me incomoda e com ferramentas que pudessem ajudar com isso seria o diferencial.</t>
  </si>
  <si>
    <t xml:space="preserve">Sim, passamos por um pandemia e a empresas conseguiu segurar todos os colaboradores, por isso eu acredito que isso só aconteceria em último caso. </t>
  </si>
  <si>
    <t xml:space="preserve">Falta um pouco disso ainda. </t>
  </si>
  <si>
    <t>Ainda falta muito a questão do feedback.</t>
  </si>
  <si>
    <t xml:space="preserve">Falta um pouco desse olhar mais crítico. </t>
  </si>
  <si>
    <t xml:space="preserve">Precisa melhorar nessa questão da clareza tem que ter responsabilidade do direcionamento do colaborador, isso ainda está faltando. </t>
  </si>
  <si>
    <t xml:space="preserve">Tem coisas que precisa melhorar </t>
  </si>
  <si>
    <t>Ainda nesse cargo que estou não recebi nenhum feedback.</t>
  </si>
  <si>
    <t xml:space="preserve">Nunca fui humilhado na empresa </t>
  </si>
  <si>
    <t xml:space="preserve">Algumas sim. </t>
  </si>
  <si>
    <t xml:space="preserve">Sim existe </t>
  </si>
  <si>
    <t xml:space="preserve">Sinto falta disso no setor da manutenção já que também é um dos setores principais da empresa. </t>
  </si>
  <si>
    <t xml:space="preserve">Sim os diretores são de fácil acesso. </t>
  </si>
  <si>
    <t xml:space="preserve">Sim tenho um bom relacionamento </t>
  </si>
  <si>
    <t>Muito leve e ambiente saudável.</t>
  </si>
  <si>
    <t xml:space="preserve">Isso pode prejudicar algumas pessoas mas rola sim muito ruído </t>
  </si>
  <si>
    <t xml:space="preserve">Não vejo isso aqui. </t>
  </si>
  <si>
    <t xml:space="preserve">Se a empresa me oferecer oportunidades sim </t>
  </si>
  <si>
    <t xml:space="preserve">Precisa ainda melhorar bastante </t>
  </si>
  <si>
    <t>Assistência Médica, Assistência Odontológica, Convênio com Livrarias, Auxílio Combustível, Multibenefícios Alimentação/ Refeição, Auxílio Educação, Seguro de Vida, Gympass (Convênio Academias)</t>
  </si>
  <si>
    <t xml:space="preserve">Essa pesquisa é muito importante para melhor nosso ambiente de trabalho. </t>
  </si>
  <si>
    <t xml:space="preserve">Ambiente de trabalho leve, pessoas e dar protagonismo para seus colaboradores. </t>
  </si>
  <si>
    <t xml:space="preserve">Ainda precisa melhorar em estrutura, investimento e qualificação dos colaboradores e aumentar os benefícios. </t>
  </si>
  <si>
    <t xml:space="preserve">Que continue tentando essas pesquisas para melhorar o nosso crescimento. </t>
  </si>
  <si>
    <t>O espaço físico é muito pequeno para desenvoltura do trabalho.</t>
  </si>
  <si>
    <t>As vezes não executamos o serviço com mais proficiência por falta de recursos.</t>
  </si>
  <si>
    <t>Pôr conta do profissionalismo.</t>
  </si>
  <si>
    <t>As pessoas aqui na empresa gostam muito de ajudar uns aos outros.</t>
  </si>
  <si>
    <t>Sim,
Se estivermos com os requisitos que a empresa pede.</t>
  </si>
  <si>
    <t>Estamos no caminho certo,mas é preciso melhorar muitas coisas.</t>
  </si>
  <si>
    <t>A remuneração pode melhorar, voltando as bonificaçãoes,e insalubridade.</t>
  </si>
  <si>
    <t>Porque é daqui que levo o sustento pra minha família.</t>
  </si>
  <si>
    <t>A comunicação é um desafio em qualquer empresa 
,mas até hoje eu não sei se existe esse canal de comunicação onde podemos nos expressar, e ser respondido.</t>
  </si>
  <si>
    <t>Eu acho que não temos vínculo de amizade o suficiente, para essa demostração de sentimentos.</t>
  </si>
  <si>
    <t>Não,
Ele treina pessoas para atender as necessidades da empresa.</t>
  </si>
  <si>
    <t>Porque não depende só dele para realizações de idéias e sugestões.</t>
  </si>
  <si>
    <t>As vezes precisamos ir Pras atividades externas,
E isso afeta nossas atividades interna.</t>
  </si>
  <si>
    <t>Não!
Em todos os lugares sempre tem os seus.</t>
  </si>
  <si>
    <t>De vez enquanto.</t>
  </si>
  <si>
    <t>Não nunca vi tais atitudes.</t>
  </si>
  <si>
    <t>São muito ocupados.</t>
  </si>
  <si>
    <t>Existe em todos os lugares.</t>
  </si>
  <si>
    <t>Assistência Médica, Assistência Odontológica, Auxílio Combustível, Cesta Básica, Seguro de Vida, Day Off</t>
  </si>
  <si>
    <t>Investimento em equipamentos, manutenção, atendimento.</t>
  </si>
  <si>
    <t>PL para todos os funcionários, plano de saúde pago pela empresa,e a volta das bonificação.</t>
  </si>
  <si>
    <t>Todos os assuntos já foram abordados.</t>
  </si>
  <si>
    <t>Ambiente e apertado, piso, iluminação, inadequado, insalubre e perigoso.</t>
  </si>
  <si>
    <t>Pois não ha ferramentas e maquinários adequada e com qualidade para realizar minhas atribuições.</t>
  </si>
  <si>
    <t>A empresa possa até demostrar interesse em reconhecimento, mais talvez não chegue como deveria pela falta de interação dos gestores muitos distante da equipe.</t>
  </si>
  <si>
    <t>Pq pelo mesmo segmento algumas oferecem salubridade e periculosidade.</t>
  </si>
  <si>
    <t>Ultimamente não há essa preocupação com o próximo. Já presenciei falta de profissionalismo em repassar e ensinar tarefas diárias.</t>
  </si>
  <si>
    <t xml:space="preserve">A empresa (supervisor e liderança) não contribui pra um ambiente agradável pq alguns colaboradores não tem mais em interesse em continuar e mesmo assim querem força um pedido de demissão ao invés de colocar o colaborador pra fora. E isso acaba prejudicando o ambiente e aos demais colaboradores </t>
  </si>
  <si>
    <t>Muitas coisas são faladas repassadas e não há um feedback.</t>
  </si>
  <si>
    <t>No meu setor não consigo ver por esse lado.</t>
  </si>
  <si>
    <t>No meu setor é mais esquecido pela empresa e mesmo assim não há um interesse em melhorar ou contribuir pra melhorar, chega a até ser descaso o que acontece na manutenção.</t>
  </si>
  <si>
    <t>Não chega ser honesto pela falta de feedback, parece ser descaso ou mesmo jogado esse setor.</t>
  </si>
  <si>
    <t>Talvez nas necessidades dele pra não fazer nada.</t>
  </si>
  <si>
    <t>Eu creio que sim</t>
  </si>
  <si>
    <t xml:space="preserve">Possa até concordar mais não vai pra frente nada. </t>
  </si>
  <si>
    <t xml:space="preserve">Ficamos sabendo por terceiros </t>
  </si>
  <si>
    <t>A supervisão e muito distante não sei qdo ela afeta.</t>
  </si>
  <si>
    <t>Não pq o setor tá uma bagunça devido a falta de gestão, todos desmotivado e acabam afetando todos.</t>
  </si>
  <si>
    <t>Nem ele resolve e nem ninguém.</t>
  </si>
  <si>
    <t xml:space="preserve">Nenhum supervisor, líder aqui e exemplo pois não tem horário pra chegar, fazem o que quer não respeitam regras </t>
  </si>
  <si>
    <t xml:space="preserve">O feedback se for cada 90 dias e muito </t>
  </si>
  <si>
    <t>Se for do seu interesse.</t>
  </si>
  <si>
    <t>Pq empresa como todo, a setores que só atingem resultado devido aos outros setores e as mesmas regalias e envolvimentos de equipe não são as mesmas.</t>
  </si>
  <si>
    <t>Manutenção está esquecida em tudo. Não há nem o mínimo para um ambiente de trabalho melhor o que dirá comemorar algo.</t>
  </si>
  <si>
    <t>Em todo canto tem isso.</t>
  </si>
  <si>
    <t>A diretoria já foi mais próximo, mais vejo que está tentando dar autonomia aos supervisores mais porém os mesmos não estão adequado a empresa.</t>
  </si>
  <si>
    <t xml:space="preserve">Posso fazer a diferença sim mais valorizado não </t>
  </si>
  <si>
    <t>O ambiente de trabalho já foi melhor, mais liderança e supervisão não tem pulso com os funcionários pois não são exemplos, e outros setores e acabam havendo regalias pra alguns.</t>
  </si>
  <si>
    <t>Tem em alguns momentos.</t>
  </si>
  <si>
    <t xml:space="preserve">Se for ver o tunover da empresa já diz tudo.
</t>
  </si>
  <si>
    <t>Assistência Médica, Auxílio Combustível, Multibenefícios Alimentação/ Refeição, Seguro de Vida, Gympass (Convênio Academias), Day Off</t>
  </si>
  <si>
    <t>Comercial muito forte e profissional.
Investimento em equipamentos pra locação.
Atendimento ao cliente.</t>
  </si>
  <si>
    <t xml:space="preserve">Ter uma supervisão mais eficiente e eficaz.
Melhorar o ambiente de trabalho pois e perigoso, insalubre, apertado...
Pensar mais nos coloboradores </t>
  </si>
  <si>
    <t>Como trabalho na manutenção deviria ter mais investimento em vestiário, piso iluminação ferramentas e valorizar mais pois trabalho em área insalubre e perigoso devido externas.</t>
  </si>
  <si>
    <t xml:space="preserve">Minha opinião como serviço gerais,acho que o piso podia mudar esse tipo de tijolos atrapalhar na locomoção das máquinas mais pesada ( betoneira etc) sempre trava no trajeto </t>
  </si>
  <si>
    <t xml:space="preserve">Nessa quesito não tenho nada a reclamar,a distribuição dos EPI é boa </t>
  </si>
  <si>
    <t xml:space="preserve">Nesse ponto minha opinião é pre matura pois faz pouco tempo de empresa </t>
  </si>
  <si>
    <t>Melhoras no ambiente como um piso melhor, banheiro também tem que melhorar um pouco!</t>
  </si>
  <si>
    <t xml:space="preserve">Discordo,pois conheço pouco esse ramo de trabalho </t>
  </si>
  <si>
    <t xml:space="preserve">Acho sim um lugar especial pois tenho deveres a cumprir </t>
  </si>
  <si>
    <t xml:space="preserve">No meu caso fio bem recebido por todos </t>
  </si>
  <si>
    <t xml:space="preserve">Meus amigos do setor que faço parte não medem esforços para mim treinar bem </t>
  </si>
  <si>
    <t xml:space="preserve">Eu me sinto bem nesse tipo de ambiente,pós já trabalhei em outros lugares semelhantes </t>
  </si>
  <si>
    <t xml:space="preserve">Sim,o Alexandre execi bem sua função de líder </t>
  </si>
  <si>
    <t xml:space="preserve">Sim ele é uma pessoa bem educada e fácil de conversar </t>
  </si>
  <si>
    <t>Auxílio Combustível, Auxílio Educação, Cesta Básica, Empréstimo Consignado, Salubridade!</t>
  </si>
  <si>
    <t>Os horários de entrada e saída são bem respeitados</t>
  </si>
  <si>
    <t xml:space="preserve">Acho que a área das máquinas devia ter um piso melhor para ajudar na locomoção </t>
  </si>
  <si>
    <t>Me sinto bem aqui na empresa apenas algumas melhorias devia ser feito como já foi respondido nas perguntas anteriores no mais não tenho muito a reclamar!</t>
  </si>
  <si>
    <t>Bom ambiente de trabalho e gestão muito boa.</t>
  </si>
  <si>
    <t>Devido o suporte dos transportes para limpeza,para deixar nosso material de trabalho sempre limpo.</t>
  </si>
  <si>
    <t xml:space="preserve">Sempre prestativos a ajudar e a resolver nosso problemas </t>
  </si>
  <si>
    <t>Como falei suporte humano muito bom</t>
  </si>
  <si>
    <t>Sempre temos oportunidade de crescimento</t>
  </si>
  <si>
    <t>Ser a melhor e referência no nordeste</t>
  </si>
  <si>
    <t>Sempre disposto a ensinar e dar suporte</t>
  </si>
  <si>
    <t>Temos a referencia e está sim</t>
  </si>
  <si>
    <t>Agradecido pelo acolhimento</t>
  </si>
  <si>
    <t>Particularmente sim</t>
  </si>
  <si>
    <t xml:space="preserve">Gestão sempre disposta a ajudar </t>
  </si>
  <si>
    <t>Auxílio Combustível, Empréstimo Consignado, Gympass (Convênio Academias)</t>
  </si>
  <si>
    <t xml:space="preserve">Suporte humano,crescimento e credibilidade </t>
  </si>
  <si>
    <t xml:space="preserve">Suporte para carros limpeza e manutenção,cursos e auxílio combustível </t>
  </si>
  <si>
    <t>Queria so agradecer a empresa por me proporcionar suporte e ter um carinho por meu trabalho e agradecer pela equipe geral que são pessoas que fazem nosso dia diferente e agradável,e pedir que possa ver a questão do auxílio combustível ia ajudar a cada colaborador e seria muito bom.</t>
  </si>
  <si>
    <t xml:space="preserve">Nunca vi nem ouvi falar que ele humilhou algum colaborador </t>
  </si>
  <si>
    <t xml:space="preserve">Pelo parte do transporte não </t>
  </si>
  <si>
    <t xml:space="preserve">Como Tota empresa tem </t>
  </si>
  <si>
    <t>Assistência Médica, Auxílio Combustível, Vale Alimentação, Auxílio Educação, Cesta Básica</t>
  </si>
  <si>
    <t>Ambiente , salário em dias , e não trabalhar nos finais de semena</t>
  </si>
  <si>
    <t xml:space="preserve">Sala de descanso , vale combustível  e aumentar quantidade  de banheiros </t>
  </si>
  <si>
    <t>Gostaria só que tivesse o vale combustível mesmo ia ser uma ajuda e tanto obg</t>
  </si>
  <si>
    <t>A Diretoria da empresa é acessível, aberta a sugestões e você mantém um bom relacionamento com ela.</t>
  </si>
  <si>
    <t>As pessoas na empresa são tratadas com respeito e igualdade, independentemente de idade, cor, religião, sexo ou função.</t>
  </si>
  <si>
    <t>Seu líder demonstra comprometimento com o negócio, agindo com ética e honestidade na condução das atividades.</t>
  </si>
  <si>
    <t>Seu líder confia no trabalho das pessoas e proporciona autonomia para a execução das atividades.</t>
  </si>
  <si>
    <t>Ver real necessidade</t>
  </si>
  <si>
    <t xml:space="preserve"> Este é um lugar agradável para se trabalhar, considerando tanto o ambiente físico quanto o clima geral.</t>
  </si>
  <si>
    <t>SUGESTÃO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</si>
</sst>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13" x14ac:knownFonts="1">
    <font>
      <sz val="10"/>
      <color rgb="FF000000"/>
      <name val="Arial"/>
    </font>
    <font>
      <sz val="10"/>
      <color theme="1"/>
      <name val="Arial"/>
      <family val="2"/>
    </font>
    <font>
      <sz val="10"/>
      <color rgb="FF000000"/>
      <name val="Arial"/>
      <family val="2"/>
    </font>
    <font>
      <sz val="10"/>
      <color theme="1"/>
      <name val="Arial"/>
      <family val="2"/>
    </font>
    <font>
      <sz val="10"/>
      <color rgb="FFFF0000"/>
      <name val="Arial"/>
      <family val="2"/>
    </font>
    <font>
      <sz val="10"/>
      <name val="Arial"/>
      <family val="2"/>
    </font>
    <font>
      <sz val="10"/>
      <color rgb="FF000000"/>
      <name val="Arial"/>
      <family val="2"/>
    </font>
    <font>
      <b/>
      <sz val="10"/>
      <color theme="1"/>
      <name val="Arial"/>
      <family val="2"/>
    </font>
    <font>
      <b/>
      <sz val="10"/>
      <color theme="0"/>
      <name val="Arial"/>
      <family val="2"/>
    </font>
    <font>
      <sz val="10"/>
      <color theme="1"/>
      <name val="Arial"/>
      <scheme val="minor"/>
    </font>
    <font>
      <sz val="10"/>
      <color theme="0"/>
      <name val="Arial"/>
      <family val="2"/>
    </font>
    <font>
      <sz val="11"/>
      <color rgb="FF000000"/>
      <name val="Calibri"/>
      <family val="2"/>
    </font>
    <font>
      <sz val="8"/>
      <name val="Arial"/>
      <family val="2"/>
    </font>
  </fonts>
  <fills count="13">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FFFF"/>
        <bgColor rgb="FFFFFFFF"/>
      </patternFill>
    </fill>
    <fill>
      <patternFill patternType="solid">
        <fgColor rgb="FFF8F9FA"/>
        <bgColor rgb="FFF8F9FA"/>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34998626667073579"/>
        <bgColor indexed="64"/>
      </patternFill>
    </fill>
  </fills>
  <borders count="14">
    <border>
      <left/>
      <right/>
      <top/>
      <bottom/>
      <diagonal/>
    </border>
    <border>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thin">
        <color rgb="FF442F65"/>
      </left>
      <right style="thin">
        <color rgb="FFFFFFFF"/>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08">
    <xf numFmtId="0" fontId="0" fillId="0" borderId="0" xfId="0"/>
    <xf numFmtId="164" fontId="1" fillId="0" borderId="0" xfId="0" applyNumberFormat="1" applyFont="1"/>
    <xf numFmtId="0" fontId="1" fillId="0" borderId="0" xfId="0" applyFont="1"/>
    <xf numFmtId="9" fontId="1" fillId="0" borderId="0" xfId="0" applyNumberFormat="1" applyFont="1"/>
    <xf numFmtId="0" fontId="0" fillId="0" borderId="0" xfId="0" applyAlignment="1">
      <alignment vertical="center"/>
    </xf>
    <xf numFmtId="0" fontId="0" fillId="0" borderId="0" xfId="0"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6" fillId="0" borderId="0" xfId="0" applyFont="1"/>
    <xf numFmtId="0" fontId="6" fillId="0" borderId="0" xfId="0" applyFont="1" applyAlignment="1">
      <alignment horizontal="center" vertical="center"/>
    </xf>
    <xf numFmtId="9" fontId="4" fillId="0" borderId="0" xfId="1" applyFont="1" applyAlignment="1"/>
    <xf numFmtId="0" fontId="0" fillId="0" borderId="1" xfId="0" applyBorder="1"/>
    <xf numFmtId="0" fontId="0" fillId="0" borderId="1" xfId="0" applyBorder="1" applyAlignment="1">
      <alignment horizontal="center" vertical="center"/>
    </xf>
    <xf numFmtId="0" fontId="6" fillId="0" borderId="1" xfId="0" applyFont="1" applyBorder="1"/>
    <xf numFmtId="0" fontId="4" fillId="0" borderId="1" xfId="0" applyFont="1" applyBorder="1" applyAlignment="1">
      <alignment vertical="center"/>
    </xf>
    <xf numFmtId="0" fontId="4" fillId="0" borderId="1" xfId="0" applyFont="1" applyBorder="1" applyAlignment="1">
      <alignment horizontal="center" vertical="center"/>
    </xf>
    <xf numFmtId="9" fontId="0" fillId="0" borderId="0" xfId="1" applyFont="1" applyBorder="1" applyAlignment="1"/>
    <xf numFmtId="165" fontId="0" fillId="0" borderId="1" xfId="1" applyNumberFormat="1" applyFont="1" applyBorder="1" applyAlignment="1"/>
    <xf numFmtId="165" fontId="0" fillId="0" borderId="0" xfId="0" applyNumberFormat="1"/>
    <xf numFmtId="165" fontId="0" fillId="0" borderId="1" xfId="0" applyNumberFormat="1" applyBorder="1"/>
    <xf numFmtId="0" fontId="0" fillId="0" borderId="1" xfId="0" applyBorder="1" applyAlignment="1">
      <alignment vertical="center"/>
    </xf>
    <xf numFmtId="165" fontId="3" fillId="0" borderId="1" xfId="1" applyNumberFormat="1" applyFont="1" applyBorder="1" applyAlignment="1"/>
    <xf numFmtId="0" fontId="7" fillId="2" borderId="1" xfId="0" applyFont="1" applyFill="1" applyBorder="1"/>
    <xf numFmtId="0" fontId="7" fillId="2" borderId="1" xfId="0" applyFont="1" applyFill="1" applyBorder="1" applyAlignment="1">
      <alignment vertical="center"/>
    </xf>
    <xf numFmtId="0" fontId="7" fillId="2" borderId="1" xfId="0" applyFont="1" applyFill="1" applyBorder="1" applyAlignment="1">
      <alignment horizontal="center" vertical="center"/>
    </xf>
    <xf numFmtId="0" fontId="5" fillId="2" borderId="1" xfId="0" applyFont="1" applyFill="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9" fontId="0" fillId="0" borderId="0" xfId="1" applyFont="1" applyAlignment="1">
      <alignment horizontal="center" vertical="center"/>
    </xf>
    <xf numFmtId="9" fontId="4" fillId="0" borderId="0" xfId="1" applyFont="1" applyAlignment="1">
      <alignment horizontal="center" vertical="center"/>
    </xf>
    <xf numFmtId="165" fontId="0" fillId="0" borderId="1" xfId="0" applyNumberFormat="1" applyBorder="1" applyAlignment="1">
      <alignment horizontal="center" vertical="center"/>
    </xf>
    <xf numFmtId="165" fontId="0" fillId="0" borderId="0" xfId="0" applyNumberFormat="1" applyAlignment="1">
      <alignment horizontal="center" vertical="center"/>
    </xf>
    <xf numFmtId="165" fontId="3" fillId="0" borderId="1" xfId="1" applyNumberFormat="1" applyFont="1" applyBorder="1" applyAlignment="1">
      <alignment horizontal="center" vertical="center"/>
    </xf>
    <xf numFmtId="165" fontId="0" fillId="0" borderId="1" xfId="1" applyNumberFormat="1" applyFont="1" applyBorder="1" applyAlignment="1">
      <alignment horizontal="center" vertical="center"/>
    </xf>
    <xf numFmtId="9" fontId="0" fillId="0" borderId="0" xfId="1" applyFont="1" applyBorder="1" applyAlignment="1">
      <alignment horizontal="center" vertical="center"/>
    </xf>
    <xf numFmtId="0" fontId="8" fillId="3" borderId="1" xfId="0" applyFont="1" applyFill="1" applyBorder="1"/>
    <xf numFmtId="0" fontId="8" fillId="3" borderId="1" xfId="0" applyFont="1" applyFill="1" applyBorder="1" applyAlignment="1">
      <alignment horizontal="center" vertical="center"/>
    </xf>
    <xf numFmtId="165" fontId="8" fillId="3" borderId="1" xfId="1" applyNumberFormat="1" applyFont="1" applyFill="1" applyBorder="1" applyAlignment="1"/>
    <xf numFmtId="0" fontId="6" fillId="2" borderId="0" xfId="0" applyFont="1" applyFill="1"/>
    <xf numFmtId="0" fontId="0" fillId="2" borderId="0" xfId="0" applyFill="1" applyAlignment="1">
      <alignment vertical="center"/>
    </xf>
    <xf numFmtId="0" fontId="0" fillId="2" borderId="0" xfId="0" applyFill="1" applyAlignment="1">
      <alignment horizontal="center" vertical="center"/>
    </xf>
    <xf numFmtId="9" fontId="0" fillId="2" borderId="0" xfId="1" applyFont="1" applyFill="1" applyAlignment="1">
      <alignment horizontal="center" vertical="center"/>
    </xf>
    <xf numFmtId="9" fontId="0" fillId="2" borderId="0" xfId="1" applyFont="1" applyFill="1" applyBorder="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4" fillId="2" borderId="0" xfId="0" applyFont="1" applyFill="1" applyAlignment="1">
      <alignment horizontal="center" vertical="center"/>
    </xf>
    <xf numFmtId="9" fontId="4" fillId="2" borderId="0" xfId="1" applyFont="1" applyFill="1" applyAlignment="1">
      <alignment horizontal="center" vertical="center"/>
    </xf>
    <xf numFmtId="9" fontId="4" fillId="2" borderId="0" xfId="1" applyFont="1" applyFill="1" applyBorder="1" applyAlignment="1">
      <alignment horizontal="center" vertical="center"/>
    </xf>
    <xf numFmtId="9" fontId="4" fillId="0" borderId="0" xfId="1" applyFont="1" applyBorder="1" applyAlignment="1">
      <alignment horizontal="center" vertical="center"/>
    </xf>
    <xf numFmtId="0" fontId="6" fillId="4" borderId="0" xfId="0" applyFont="1" applyFill="1"/>
    <xf numFmtId="0" fontId="6" fillId="2" borderId="1" xfId="0" applyFont="1" applyFill="1" applyBorder="1"/>
    <xf numFmtId="0" fontId="0" fillId="5" borderId="0" xfId="0" applyFill="1" applyAlignment="1">
      <alignment vertical="center"/>
    </xf>
    <xf numFmtId="0" fontId="4" fillId="2" borderId="1" xfId="0" applyFont="1" applyFill="1" applyBorder="1" applyAlignment="1">
      <alignment vertical="center"/>
    </xf>
    <xf numFmtId="0" fontId="0" fillId="5" borderId="0" xfId="0" applyFill="1" applyAlignment="1">
      <alignment horizontal="center" vertical="center"/>
    </xf>
    <xf numFmtId="0" fontId="4" fillId="2" borderId="1" xfId="0" applyFont="1" applyFill="1" applyBorder="1" applyAlignment="1">
      <alignment horizontal="center" vertical="center"/>
    </xf>
    <xf numFmtId="0" fontId="0" fillId="2" borderId="1" xfId="0" applyFill="1" applyBorder="1" applyAlignment="1">
      <alignment horizontal="center" vertical="center"/>
    </xf>
    <xf numFmtId="10" fontId="0" fillId="5" borderId="0" xfId="1" applyNumberFormat="1" applyFont="1" applyFill="1" applyBorder="1" applyAlignment="1">
      <alignment horizontal="center" vertical="center"/>
    </xf>
    <xf numFmtId="9" fontId="4" fillId="2" borderId="1" xfId="1" applyFont="1" applyFill="1" applyBorder="1" applyAlignment="1">
      <alignment horizontal="center" vertical="center"/>
    </xf>
    <xf numFmtId="9" fontId="0" fillId="4" borderId="0" xfId="1" applyFont="1" applyFill="1" applyBorder="1" applyAlignment="1">
      <alignment horizontal="center" vertical="center"/>
    </xf>
    <xf numFmtId="9" fontId="4" fillId="0" borderId="1" xfId="1" applyFont="1" applyBorder="1" applyAlignment="1">
      <alignment horizontal="center" vertical="center"/>
    </xf>
    <xf numFmtId="0" fontId="2" fillId="0" borderId="2" xfId="0" applyFont="1" applyBorder="1" applyAlignment="1">
      <alignment wrapText="1"/>
    </xf>
    <xf numFmtId="0" fontId="2" fillId="0" borderId="2" xfId="0" applyFont="1" applyBorder="1" applyAlignment="1">
      <alignment vertical="center"/>
    </xf>
    <xf numFmtId="0" fontId="6" fillId="6" borderId="0" xfId="0" applyFont="1" applyFill="1"/>
    <xf numFmtId="0" fontId="0" fillId="6" borderId="0" xfId="0" applyFill="1" applyAlignment="1">
      <alignment vertical="center"/>
    </xf>
    <xf numFmtId="0" fontId="0" fillId="6" borderId="0" xfId="0" applyFill="1" applyAlignment="1">
      <alignment horizontal="center" vertical="center"/>
    </xf>
    <xf numFmtId="9" fontId="0" fillId="6" borderId="0" xfId="1" applyFont="1" applyFill="1" applyAlignment="1">
      <alignment horizontal="center" vertical="center"/>
    </xf>
    <xf numFmtId="0" fontId="0" fillId="6" borderId="0" xfId="0" applyFill="1"/>
    <xf numFmtId="164" fontId="9" fillId="7" borderId="3" xfId="0" applyNumberFormat="1" applyFont="1" applyFill="1" applyBorder="1" applyAlignment="1">
      <alignment vertical="center"/>
    </xf>
    <xf numFmtId="164" fontId="9" fillId="8" borderId="4" xfId="0" applyNumberFormat="1" applyFont="1" applyFill="1" applyBorder="1" applyAlignment="1">
      <alignment vertical="center"/>
    </xf>
    <xf numFmtId="164" fontId="9" fillId="8" borderId="5" xfId="0" applyNumberFormat="1" applyFont="1" applyFill="1" applyBorder="1" applyAlignment="1">
      <alignment vertical="center"/>
    </xf>
    <xf numFmtId="0" fontId="9" fillId="0" borderId="6"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164" fontId="9" fillId="7" borderId="4" xfId="0" applyNumberFormat="1" applyFont="1" applyFill="1" applyBorder="1" applyAlignment="1">
      <alignment vertical="center"/>
    </xf>
    <xf numFmtId="164" fontId="9" fillId="8" borderId="3" xfId="0" applyNumberFormat="1" applyFont="1" applyFill="1" applyBorder="1" applyAlignment="1">
      <alignment vertical="center"/>
    </xf>
    <xf numFmtId="0" fontId="5" fillId="0" borderId="1" xfId="0" applyFont="1" applyBorder="1"/>
    <xf numFmtId="0" fontId="5" fillId="0" borderId="0" xfId="0" applyFont="1" applyAlignment="1">
      <alignment vertical="center"/>
    </xf>
    <xf numFmtId="0" fontId="6" fillId="9" borderId="0" xfId="0" applyFont="1" applyFill="1"/>
    <xf numFmtId="0" fontId="0" fillId="9" borderId="0" xfId="0" applyFill="1" applyAlignment="1">
      <alignment vertical="center"/>
    </xf>
    <xf numFmtId="0" fontId="0" fillId="9" borderId="0" xfId="0" applyFill="1" applyAlignment="1">
      <alignment horizontal="center" vertical="center"/>
    </xf>
    <xf numFmtId="9" fontId="0" fillId="9" borderId="0" xfId="1" applyFont="1" applyFill="1" applyAlignment="1">
      <alignment horizontal="center" vertical="center"/>
    </xf>
    <xf numFmtId="0" fontId="0" fillId="9" borderId="0" xfId="0" applyFill="1"/>
    <xf numFmtId="9" fontId="0" fillId="9" borderId="0" xfId="1" applyFont="1" applyFill="1" applyBorder="1" applyAlignment="1">
      <alignment horizontal="center" vertical="center"/>
    </xf>
    <xf numFmtId="0" fontId="5" fillId="9" borderId="0" xfId="0" applyFont="1" applyFill="1" applyAlignment="1">
      <alignment horizontal="center" vertical="center"/>
    </xf>
    <xf numFmtId="0" fontId="5" fillId="2" borderId="0" xfId="0" applyFont="1" applyFill="1"/>
    <xf numFmtId="0" fontId="5" fillId="2" borderId="0" xfId="0" applyFont="1" applyFill="1" applyAlignment="1">
      <alignment vertical="center"/>
    </xf>
    <xf numFmtId="0" fontId="8" fillId="3" borderId="0" xfId="0" applyFont="1" applyFill="1"/>
    <xf numFmtId="0" fontId="5" fillId="9" borderId="0" xfId="0" applyFont="1" applyFill="1" applyAlignment="1">
      <alignment vertical="center"/>
    </xf>
    <xf numFmtId="0" fontId="5" fillId="6" borderId="0" xfId="0" applyFont="1" applyFill="1"/>
    <xf numFmtId="0" fontId="5" fillId="6" borderId="0" xfId="0" applyFont="1" applyFill="1" applyAlignment="1">
      <alignment vertical="center"/>
    </xf>
    <xf numFmtId="0" fontId="5" fillId="4" borderId="0" xfId="0" applyFont="1" applyFill="1" applyAlignment="1">
      <alignment vertical="center"/>
    </xf>
    <xf numFmtId="0" fontId="5" fillId="10" borderId="0" xfId="0" applyFont="1" applyFill="1" applyAlignment="1">
      <alignment vertical="center"/>
    </xf>
    <xf numFmtId="0" fontId="5" fillId="11" borderId="0" xfId="0" applyFont="1" applyFill="1" applyAlignment="1">
      <alignment vertical="center"/>
    </xf>
    <xf numFmtId="0" fontId="5" fillId="12" borderId="0" xfId="0" applyFont="1" applyFill="1" applyAlignment="1">
      <alignment vertical="center"/>
    </xf>
    <xf numFmtId="0" fontId="10" fillId="2" borderId="0" xfId="0" applyFont="1" applyFill="1"/>
    <xf numFmtId="0" fontId="12" fillId="2" borderId="0" xfId="0" applyFont="1" applyFill="1"/>
    <xf numFmtId="0" fontId="12" fillId="6" borderId="0" xfId="0" applyFont="1" applyFill="1"/>
    <xf numFmtId="0" fontId="0" fillId="0" borderId="0" xfId="0" applyAlignment="1">
      <alignment horizontal="left"/>
    </xf>
    <xf numFmtId="0" fontId="5" fillId="2" borderId="0" xfId="0" applyFont="1" applyFill="1" applyAlignment="1">
      <alignment horizontal="left"/>
    </xf>
    <xf numFmtId="0" fontId="2" fillId="0" borderId="0" xfId="0" applyFont="1" applyAlignment="1">
      <alignment horizontal="left"/>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5" fillId="6" borderId="12" xfId="0" applyFont="1" applyFill="1" applyBorder="1" applyAlignment="1">
      <alignment horizontal="left" vertical="center"/>
    </xf>
    <xf numFmtId="0" fontId="5" fillId="6" borderId="13" xfId="0" applyFont="1" applyFill="1" applyBorder="1" applyAlignment="1">
      <alignment horizontal="left"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outlinePr summaryBelow="0" summaryRight="0"/>
  </sheetPr>
  <dimension ref="A1:DH147"/>
  <sheetViews>
    <sheetView workbookViewId="0">
      <pane ySplit="1" topLeftCell="A2" activePane="bottomLeft" state="frozen"/>
      <selection activeCell="B30" sqref="B30"/>
      <selection pane="bottomLeft" activeCell="E21" sqref="E21"/>
    </sheetView>
  </sheetViews>
  <sheetFormatPr defaultColWidth="14.44140625" defaultRowHeight="15.75" customHeight="1" x14ac:dyDescent="0.25"/>
  <cols>
    <col min="1" max="101" width="21.44140625" customWidth="1"/>
    <col min="102" max="102" width="140.109375" bestFit="1" customWidth="1"/>
    <col min="103" max="112" width="21.44140625" customWidth="1"/>
  </cols>
  <sheetData>
    <row r="1" spans="1:112" ht="93" thickBot="1" x14ac:dyDescent="0.3">
      <c r="A1" s="61" t="s">
        <v>0</v>
      </c>
      <c r="B1" s="61" t="s">
        <v>1</v>
      </c>
      <c r="C1" s="61" t="s">
        <v>2</v>
      </c>
      <c r="D1" s="61" t="s">
        <v>3</v>
      </c>
      <c r="E1" s="61" t="s">
        <v>4</v>
      </c>
      <c r="F1" s="61" t="s">
        <v>5</v>
      </c>
      <c r="G1" s="61" t="s">
        <v>6</v>
      </c>
      <c r="H1" s="61" t="s">
        <v>7</v>
      </c>
      <c r="I1" s="61" t="s">
        <v>8</v>
      </c>
      <c r="J1" s="61" t="s">
        <v>9</v>
      </c>
      <c r="K1" s="61" t="s">
        <v>10</v>
      </c>
      <c r="L1" s="61" t="s">
        <v>11</v>
      </c>
      <c r="M1" s="61" t="s">
        <v>12</v>
      </c>
      <c r="N1" s="61" t="s">
        <v>13</v>
      </c>
      <c r="O1" s="61" t="s">
        <v>14</v>
      </c>
      <c r="P1" s="61" t="s">
        <v>15</v>
      </c>
      <c r="Q1" s="61" t="s">
        <v>16</v>
      </c>
      <c r="R1" s="61" t="s">
        <v>17</v>
      </c>
      <c r="S1" s="61" t="s">
        <v>18</v>
      </c>
      <c r="T1" s="61" t="s">
        <v>19</v>
      </c>
      <c r="U1" s="61" t="s">
        <v>20</v>
      </c>
      <c r="V1" s="61" t="s">
        <v>21</v>
      </c>
      <c r="W1" s="61" t="s">
        <v>22</v>
      </c>
      <c r="X1" s="61" t="s">
        <v>23</v>
      </c>
      <c r="Y1" s="61" t="s">
        <v>24</v>
      </c>
      <c r="Z1" s="61" t="s">
        <v>25</v>
      </c>
      <c r="AA1" s="61" t="s">
        <v>26</v>
      </c>
      <c r="AB1" s="61" t="s">
        <v>27</v>
      </c>
      <c r="AC1" s="61" t="s">
        <v>28</v>
      </c>
      <c r="AD1" s="61" t="s">
        <v>29</v>
      </c>
      <c r="AE1" s="61" t="s">
        <v>30</v>
      </c>
      <c r="AF1" s="61" t="s">
        <v>31</v>
      </c>
      <c r="AG1" s="61" t="s">
        <v>32</v>
      </c>
      <c r="AH1" s="61" t="s">
        <v>33</v>
      </c>
      <c r="AI1" s="61" t="s">
        <v>34</v>
      </c>
      <c r="AJ1" s="61" t="s">
        <v>35</v>
      </c>
      <c r="AK1" s="61" t="s">
        <v>36</v>
      </c>
      <c r="AL1" s="61" t="s">
        <v>37</v>
      </c>
      <c r="AM1" s="61" t="s">
        <v>38</v>
      </c>
      <c r="AN1" s="61" t="s">
        <v>39</v>
      </c>
      <c r="AO1" s="61" t="s">
        <v>40</v>
      </c>
      <c r="AP1" s="61" t="s">
        <v>41</v>
      </c>
      <c r="AQ1" s="61" t="s">
        <v>42</v>
      </c>
      <c r="AR1" s="61" t="s">
        <v>43</v>
      </c>
      <c r="AS1" s="61" t="s">
        <v>44</v>
      </c>
      <c r="AT1" s="61" t="s">
        <v>45</v>
      </c>
      <c r="AU1" s="61" t="s">
        <v>46</v>
      </c>
      <c r="AV1" s="61" t="s">
        <v>47</v>
      </c>
      <c r="AW1" s="61" t="s">
        <v>48</v>
      </c>
      <c r="AX1" s="61" t="s">
        <v>49</v>
      </c>
      <c r="AY1" s="61" t="s">
        <v>50</v>
      </c>
      <c r="AZ1" s="61" t="s">
        <v>51</v>
      </c>
      <c r="BA1" s="61" t="s">
        <v>52</v>
      </c>
      <c r="BB1" s="61" t="s">
        <v>53</v>
      </c>
      <c r="BC1" s="61" t="s">
        <v>54</v>
      </c>
      <c r="BD1" s="61" t="s">
        <v>55</v>
      </c>
      <c r="BE1" s="61" t="s">
        <v>56</v>
      </c>
      <c r="BF1" s="61" t="s">
        <v>57</v>
      </c>
      <c r="BG1" s="61" t="s">
        <v>58</v>
      </c>
      <c r="BH1" s="61" t="s">
        <v>59</v>
      </c>
      <c r="BI1" s="61" t="s">
        <v>60</v>
      </c>
      <c r="BJ1" s="61" t="s">
        <v>61</v>
      </c>
      <c r="BK1" s="61" t="s">
        <v>62</v>
      </c>
      <c r="BL1" s="61" t="s">
        <v>63</v>
      </c>
      <c r="BM1" s="61" t="s">
        <v>64</v>
      </c>
      <c r="BN1" s="61" t="s">
        <v>65</v>
      </c>
      <c r="BO1" s="61" t="s">
        <v>66</v>
      </c>
      <c r="BP1" s="61" t="s">
        <v>67</v>
      </c>
      <c r="BQ1" s="61" t="s">
        <v>68</v>
      </c>
      <c r="BR1" s="61" t="s">
        <v>69</v>
      </c>
      <c r="BS1" s="61" t="s">
        <v>70</v>
      </c>
      <c r="BT1" s="61" t="s">
        <v>71</v>
      </c>
      <c r="BU1" s="61" t="s">
        <v>72</v>
      </c>
      <c r="BV1" s="61" t="s">
        <v>73</v>
      </c>
      <c r="BW1" s="61" t="s">
        <v>74</v>
      </c>
      <c r="BX1" s="61" t="s">
        <v>75</v>
      </c>
      <c r="BY1" s="61" t="s">
        <v>76</v>
      </c>
      <c r="BZ1" s="61" t="s">
        <v>77</v>
      </c>
      <c r="CA1" s="61" t="s">
        <v>78</v>
      </c>
      <c r="CB1" s="61" t="s">
        <v>79</v>
      </c>
      <c r="CC1" s="61" t="s">
        <v>80</v>
      </c>
      <c r="CD1" s="61" t="s">
        <v>81</v>
      </c>
      <c r="CE1" s="61" t="s">
        <v>82</v>
      </c>
      <c r="CF1" s="61" t="s">
        <v>83</v>
      </c>
      <c r="CG1" s="61" t="s">
        <v>84</v>
      </c>
      <c r="CH1" s="61" t="s">
        <v>85</v>
      </c>
      <c r="CI1" s="61" t="s">
        <v>86</v>
      </c>
      <c r="CJ1" s="61" t="s">
        <v>87</v>
      </c>
      <c r="CK1" s="61" t="s">
        <v>88</v>
      </c>
      <c r="CL1" s="61" t="s">
        <v>89</v>
      </c>
      <c r="CM1" s="61" t="s">
        <v>90</v>
      </c>
      <c r="CN1" s="61" t="s">
        <v>91</v>
      </c>
      <c r="CO1" s="61" t="s">
        <v>92</v>
      </c>
      <c r="CP1" s="61" t="s">
        <v>93</v>
      </c>
      <c r="CQ1" s="61" t="s">
        <v>94</v>
      </c>
      <c r="CR1" s="61" t="s">
        <v>95</v>
      </c>
      <c r="CS1" s="61" t="s">
        <v>96</v>
      </c>
      <c r="CT1" s="61" t="s">
        <v>97</v>
      </c>
      <c r="CU1" s="61" t="s">
        <v>98</v>
      </c>
      <c r="CV1" s="61" t="s">
        <v>99</v>
      </c>
      <c r="CW1" s="61" t="s">
        <v>100</v>
      </c>
      <c r="CX1" s="61" t="s">
        <v>101</v>
      </c>
      <c r="CY1" s="61" t="s">
        <v>102</v>
      </c>
      <c r="CZ1" s="61" t="s">
        <v>103</v>
      </c>
      <c r="DA1" s="61" t="s">
        <v>104</v>
      </c>
      <c r="DB1" s="62" t="s">
        <v>105</v>
      </c>
      <c r="DC1" s="61"/>
      <c r="DD1" s="61"/>
      <c r="DE1" s="61"/>
      <c r="DF1" s="61"/>
      <c r="DG1" s="61"/>
      <c r="DH1" s="61"/>
    </row>
    <row r="2" spans="1:112" ht="13.2" x14ac:dyDescent="0.25">
      <c r="A2" s="77">
        <v>45687.339131909721</v>
      </c>
      <c r="B2" s="73" t="s">
        <v>108</v>
      </c>
      <c r="D2" s="73" t="s">
        <v>106</v>
      </c>
      <c r="F2" s="73" t="s">
        <v>108</v>
      </c>
      <c r="H2" s="73" t="s">
        <v>106</v>
      </c>
      <c r="J2" s="73" t="s">
        <v>106</v>
      </c>
      <c r="L2" s="73" t="s">
        <v>108</v>
      </c>
      <c r="N2" s="73" t="s">
        <v>106</v>
      </c>
      <c r="P2" s="73" t="s">
        <v>107</v>
      </c>
      <c r="Q2" s="73" t="s">
        <v>131</v>
      </c>
      <c r="R2" s="73" t="s">
        <v>106</v>
      </c>
      <c r="S2" s="73" t="s">
        <v>132</v>
      </c>
      <c r="T2" s="73" t="s">
        <v>106</v>
      </c>
      <c r="V2" s="73" t="s">
        <v>106</v>
      </c>
      <c r="X2" s="73" t="s">
        <v>106</v>
      </c>
      <c r="Z2" s="73" t="s">
        <v>106</v>
      </c>
      <c r="AB2" s="73" t="s">
        <v>108</v>
      </c>
      <c r="AC2" s="73" t="s">
        <v>133</v>
      </c>
      <c r="AD2" s="73" t="s">
        <v>107</v>
      </c>
      <c r="AE2" s="73" t="s">
        <v>134</v>
      </c>
      <c r="AF2" s="73" t="s">
        <v>108</v>
      </c>
      <c r="AH2" s="73" t="s">
        <v>108</v>
      </c>
      <c r="AI2" s="73" t="s">
        <v>135</v>
      </c>
      <c r="AJ2" s="73" t="s">
        <v>108</v>
      </c>
      <c r="AK2" s="73" t="s">
        <v>136</v>
      </c>
      <c r="AL2" s="73" t="s">
        <v>108</v>
      </c>
      <c r="AM2" s="73" t="s">
        <v>137</v>
      </c>
      <c r="AN2" s="73" t="s">
        <v>108</v>
      </c>
      <c r="AP2" s="73" t="s">
        <v>108</v>
      </c>
      <c r="AQ2" s="73" t="s">
        <v>138</v>
      </c>
      <c r="AR2" s="73" t="s">
        <v>108</v>
      </c>
      <c r="AT2" s="73" t="s">
        <v>106</v>
      </c>
      <c r="AV2" s="73" t="s">
        <v>106</v>
      </c>
      <c r="AX2" s="73" t="s">
        <v>106</v>
      </c>
      <c r="AZ2" s="73" t="s">
        <v>106</v>
      </c>
      <c r="BB2" s="73" t="s">
        <v>108</v>
      </c>
      <c r="BD2" s="73" t="s">
        <v>106</v>
      </c>
      <c r="BF2" s="73" t="s">
        <v>108</v>
      </c>
      <c r="BH2" s="73" t="s">
        <v>106</v>
      </c>
      <c r="BJ2" s="73" t="s">
        <v>108</v>
      </c>
      <c r="BL2" s="73" t="s">
        <v>106</v>
      </c>
      <c r="BN2" s="73" t="s">
        <v>108</v>
      </c>
      <c r="BP2" s="73" t="s">
        <v>108</v>
      </c>
      <c r="BR2" s="73" t="s">
        <v>108</v>
      </c>
      <c r="BT2" s="73" t="s">
        <v>108</v>
      </c>
      <c r="BV2" s="73" t="s">
        <v>108</v>
      </c>
      <c r="BX2" s="73" t="s">
        <v>108</v>
      </c>
      <c r="BZ2" s="73" t="s">
        <v>108</v>
      </c>
      <c r="CB2" s="73" t="s">
        <v>106</v>
      </c>
      <c r="CD2" s="73" t="s">
        <v>106</v>
      </c>
      <c r="CF2" s="73" t="s">
        <v>107</v>
      </c>
      <c r="CG2" s="73" t="s">
        <v>139</v>
      </c>
      <c r="CH2" s="73" t="s">
        <v>106</v>
      </c>
      <c r="CJ2" s="73" t="s">
        <v>106</v>
      </c>
      <c r="CL2" s="73" t="s">
        <v>106</v>
      </c>
      <c r="CN2" s="73" t="s">
        <v>106</v>
      </c>
      <c r="CP2" s="73" t="s">
        <v>106</v>
      </c>
      <c r="CR2" s="73" t="s">
        <v>106</v>
      </c>
      <c r="CT2" s="73" t="s">
        <v>106</v>
      </c>
      <c r="CV2" s="73" t="s">
        <v>106</v>
      </c>
      <c r="CW2" s="73" t="s">
        <v>140</v>
      </c>
      <c r="CX2" s="73" t="s">
        <v>141</v>
      </c>
      <c r="CY2" s="73" t="s">
        <v>142</v>
      </c>
      <c r="CZ2" s="73" t="s">
        <v>143</v>
      </c>
      <c r="DA2" s="73" t="s">
        <v>144</v>
      </c>
      <c r="DB2" s="74" t="s">
        <v>145</v>
      </c>
    </row>
    <row r="3" spans="1:112" ht="13.2" x14ac:dyDescent="0.25">
      <c r="A3" s="78">
        <v>45687.339418738426</v>
      </c>
      <c r="B3" s="71" t="s">
        <v>108</v>
      </c>
      <c r="C3" s="71" t="s">
        <v>129</v>
      </c>
      <c r="D3" s="71" t="s">
        <v>108</v>
      </c>
      <c r="E3" s="71" t="s">
        <v>129</v>
      </c>
      <c r="F3" s="71" t="s">
        <v>106</v>
      </c>
      <c r="G3" s="71" t="s">
        <v>146</v>
      </c>
      <c r="H3" s="71" t="s">
        <v>107</v>
      </c>
      <c r="I3" s="71" t="s">
        <v>147</v>
      </c>
      <c r="J3" s="71" t="s">
        <v>106</v>
      </c>
      <c r="K3" s="71" t="s">
        <v>129</v>
      </c>
      <c r="L3" s="71" t="s">
        <v>108</v>
      </c>
      <c r="M3" s="71" t="s">
        <v>129</v>
      </c>
      <c r="N3" s="71" t="s">
        <v>108</v>
      </c>
      <c r="O3" s="71" t="s">
        <v>129</v>
      </c>
      <c r="P3" s="71" t="s">
        <v>108</v>
      </c>
      <c r="Q3" s="71" t="s">
        <v>148</v>
      </c>
      <c r="R3" s="71" t="s">
        <v>108</v>
      </c>
      <c r="S3" s="71" t="s">
        <v>148</v>
      </c>
      <c r="T3" s="71" t="s">
        <v>108</v>
      </c>
      <c r="U3" s="71" t="s">
        <v>148</v>
      </c>
      <c r="V3" s="71" t="s">
        <v>108</v>
      </c>
      <c r="W3" s="71" t="s">
        <v>148</v>
      </c>
      <c r="X3" s="71" t="s">
        <v>107</v>
      </c>
      <c r="Y3" s="71" t="s">
        <v>149</v>
      </c>
      <c r="Z3" s="71" t="s">
        <v>108</v>
      </c>
      <c r="AA3" s="71" t="s">
        <v>148</v>
      </c>
      <c r="AB3" s="71" t="s">
        <v>108</v>
      </c>
      <c r="AC3" s="71" t="s">
        <v>148</v>
      </c>
      <c r="AD3" s="71" t="s">
        <v>108</v>
      </c>
      <c r="AE3" s="71" t="s">
        <v>148</v>
      </c>
      <c r="AF3" s="71" t="s">
        <v>106</v>
      </c>
      <c r="AG3" s="71" t="s">
        <v>148</v>
      </c>
      <c r="AH3" s="71" t="s">
        <v>108</v>
      </c>
      <c r="AI3" s="71" t="s">
        <v>148</v>
      </c>
      <c r="AJ3" s="71" t="s">
        <v>108</v>
      </c>
      <c r="AK3" s="71" t="s">
        <v>148</v>
      </c>
      <c r="AL3" s="71" t="s">
        <v>108</v>
      </c>
      <c r="AM3" s="71" t="s">
        <v>148</v>
      </c>
      <c r="AN3" s="71" t="s">
        <v>108</v>
      </c>
      <c r="AO3" s="71" t="s">
        <v>148</v>
      </c>
      <c r="AP3" s="71" t="s">
        <v>108</v>
      </c>
      <c r="AQ3" s="71" t="s">
        <v>148</v>
      </c>
      <c r="AR3" s="71" t="s">
        <v>108</v>
      </c>
      <c r="AS3" s="71" t="s">
        <v>150</v>
      </c>
      <c r="AT3" s="71" t="s">
        <v>108</v>
      </c>
      <c r="AU3" s="71" t="s">
        <v>148</v>
      </c>
      <c r="AV3" s="71" t="s">
        <v>108</v>
      </c>
      <c r="AW3" s="71" t="s">
        <v>148</v>
      </c>
      <c r="AX3" s="71" t="s">
        <v>108</v>
      </c>
      <c r="AY3" s="71" t="s">
        <v>148</v>
      </c>
      <c r="AZ3" s="71" t="s">
        <v>108</v>
      </c>
      <c r="BA3" s="71" t="s">
        <v>148</v>
      </c>
      <c r="BB3" s="71" t="s">
        <v>108</v>
      </c>
      <c r="BC3" s="71" t="s">
        <v>148</v>
      </c>
      <c r="BD3" s="71" t="s">
        <v>108</v>
      </c>
      <c r="BE3" s="71" t="s">
        <v>148</v>
      </c>
      <c r="BF3" s="71" t="s">
        <v>107</v>
      </c>
      <c r="BG3" s="71" t="s">
        <v>151</v>
      </c>
      <c r="BH3" s="71" t="s">
        <v>108</v>
      </c>
      <c r="BI3" s="71" t="s">
        <v>148</v>
      </c>
      <c r="BJ3" s="71" t="s">
        <v>108</v>
      </c>
      <c r="BK3" s="71" t="s">
        <v>148</v>
      </c>
      <c r="BL3" s="71" t="s">
        <v>106</v>
      </c>
      <c r="BM3" s="71" t="s">
        <v>152</v>
      </c>
      <c r="BN3" s="71" t="s">
        <v>108</v>
      </c>
      <c r="BO3" s="71" t="s">
        <v>148</v>
      </c>
      <c r="BP3" s="71" t="s">
        <v>108</v>
      </c>
      <c r="BQ3" s="71" t="s">
        <v>148</v>
      </c>
      <c r="BR3" s="71" t="s">
        <v>108</v>
      </c>
      <c r="BS3" s="71" t="s">
        <v>148</v>
      </c>
      <c r="BT3" s="71" t="s">
        <v>109</v>
      </c>
      <c r="BU3" s="71" t="s">
        <v>153</v>
      </c>
      <c r="BV3" s="71" t="s">
        <v>108</v>
      </c>
      <c r="BW3" s="71" t="s">
        <v>148</v>
      </c>
      <c r="BX3" s="71" t="s">
        <v>108</v>
      </c>
      <c r="BY3" s="71" t="s">
        <v>148</v>
      </c>
      <c r="BZ3" s="71" t="s">
        <v>108</v>
      </c>
      <c r="CA3" s="71" t="s">
        <v>148</v>
      </c>
      <c r="CB3" s="71" t="s">
        <v>107</v>
      </c>
      <c r="CC3" s="71" t="s">
        <v>151</v>
      </c>
      <c r="CD3" s="71" t="s">
        <v>108</v>
      </c>
      <c r="CE3" s="71" t="s">
        <v>148</v>
      </c>
      <c r="CF3" s="71" t="s">
        <v>108</v>
      </c>
      <c r="CG3" s="71" t="s">
        <v>148</v>
      </c>
      <c r="CH3" s="71" t="s">
        <v>108</v>
      </c>
      <c r="CI3" s="71" t="s">
        <v>148</v>
      </c>
      <c r="CJ3" s="71" t="s">
        <v>108</v>
      </c>
      <c r="CK3" s="71" t="s">
        <v>148</v>
      </c>
      <c r="CL3" s="71" t="s">
        <v>108</v>
      </c>
      <c r="CM3" s="71" t="s">
        <v>148</v>
      </c>
      <c r="CN3" s="71" t="s">
        <v>106</v>
      </c>
      <c r="CO3" s="71" t="s">
        <v>154</v>
      </c>
      <c r="CP3" s="71" t="s">
        <v>107</v>
      </c>
      <c r="CQ3" s="71" t="s">
        <v>151</v>
      </c>
      <c r="CR3" s="71" t="s">
        <v>108</v>
      </c>
      <c r="CS3" s="71" t="s">
        <v>148</v>
      </c>
      <c r="CT3" s="71" t="s">
        <v>106</v>
      </c>
      <c r="CU3" s="71" t="s">
        <v>148</v>
      </c>
      <c r="CV3" s="71" t="s">
        <v>108</v>
      </c>
      <c r="CW3" s="71" t="s">
        <v>155</v>
      </c>
      <c r="CX3" s="71" t="s">
        <v>156</v>
      </c>
      <c r="CY3" s="71" t="s">
        <v>129</v>
      </c>
      <c r="CZ3" s="71" t="s">
        <v>157</v>
      </c>
      <c r="DA3" s="71" t="s">
        <v>158</v>
      </c>
      <c r="DB3" s="72" t="s">
        <v>159</v>
      </c>
    </row>
    <row r="4" spans="1:112" ht="13.2" x14ac:dyDescent="0.25">
      <c r="A4" s="77">
        <v>45687.339530439815</v>
      </c>
      <c r="B4" s="73" t="s">
        <v>108</v>
      </c>
      <c r="C4" s="73" t="s">
        <v>129</v>
      </c>
      <c r="D4" s="73" t="s">
        <v>108</v>
      </c>
      <c r="E4" s="73" t="s">
        <v>129</v>
      </c>
      <c r="F4" s="73" t="s">
        <v>106</v>
      </c>
      <c r="G4" s="73" t="s">
        <v>146</v>
      </c>
      <c r="H4" s="73" t="s">
        <v>107</v>
      </c>
      <c r="I4" s="73" t="s">
        <v>147</v>
      </c>
      <c r="J4" s="73" t="s">
        <v>106</v>
      </c>
      <c r="K4" s="73" t="s">
        <v>129</v>
      </c>
      <c r="L4" s="73" t="s">
        <v>108</v>
      </c>
      <c r="M4" s="73" t="s">
        <v>129</v>
      </c>
      <c r="N4" s="73" t="s">
        <v>108</v>
      </c>
      <c r="O4" s="73" t="s">
        <v>129</v>
      </c>
      <c r="P4" s="73" t="s">
        <v>108</v>
      </c>
      <c r="Q4" s="73" t="s">
        <v>148</v>
      </c>
      <c r="R4" s="73" t="s">
        <v>108</v>
      </c>
      <c r="S4" s="73" t="s">
        <v>148</v>
      </c>
      <c r="T4" s="73" t="s">
        <v>108</v>
      </c>
      <c r="U4" s="73" t="s">
        <v>148</v>
      </c>
      <c r="V4" s="73" t="s">
        <v>108</v>
      </c>
      <c r="W4" s="73" t="s">
        <v>148</v>
      </c>
      <c r="X4" s="73" t="s">
        <v>107</v>
      </c>
      <c r="Y4" s="73" t="s">
        <v>149</v>
      </c>
      <c r="Z4" s="73" t="s">
        <v>108</v>
      </c>
      <c r="AA4" s="73" t="s">
        <v>148</v>
      </c>
      <c r="AB4" s="73" t="s">
        <v>108</v>
      </c>
      <c r="AC4" s="73" t="s">
        <v>148</v>
      </c>
      <c r="AD4" s="73" t="s">
        <v>108</v>
      </c>
      <c r="AE4" s="73" t="s">
        <v>148</v>
      </c>
      <c r="AF4" s="73" t="s">
        <v>106</v>
      </c>
      <c r="AG4" s="73" t="s">
        <v>148</v>
      </c>
      <c r="AH4" s="73" t="s">
        <v>108</v>
      </c>
      <c r="AI4" s="73" t="s">
        <v>148</v>
      </c>
      <c r="AJ4" s="73" t="s">
        <v>108</v>
      </c>
      <c r="AK4" s="73" t="s">
        <v>148</v>
      </c>
      <c r="AL4" s="73" t="s">
        <v>108</v>
      </c>
      <c r="AM4" s="73" t="s">
        <v>148</v>
      </c>
      <c r="AN4" s="73" t="s">
        <v>108</v>
      </c>
      <c r="AO4" s="73" t="s">
        <v>148</v>
      </c>
      <c r="AP4" s="73" t="s">
        <v>108</v>
      </c>
      <c r="AQ4" s="73" t="s">
        <v>148</v>
      </c>
      <c r="AR4" s="73" t="s">
        <v>108</v>
      </c>
      <c r="AS4" s="73" t="s">
        <v>150</v>
      </c>
      <c r="AT4" s="73" t="s">
        <v>108</v>
      </c>
      <c r="AU4" s="73" t="s">
        <v>148</v>
      </c>
      <c r="AV4" s="73" t="s">
        <v>108</v>
      </c>
      <c r="AW4" s="73" t="s">
        <v>148</v>
      </c>
      <c r="AX4" s="73" t="s">
        <v>108</v>
      </c>
      <c r="AY4" s="73" t="s">
        <v>148</v>
      </c>
      <c r="AZ4" s="73" t="s">
        <v>108</v>
      </c>
      <c r="BA4" s="73" t="s">
        <v>148</v>
      </c>
      <c r="BB4" s="73" t="s">
        <v>108</v>
      </c>
      <c r="BC4" s="73" t="s">
        <v>148</v>
      </c>
      <c r="BD4" s="73" t="s">
        <v>108</v>
      </c>
      <c r="BE4" s="73" t="s">
        <v>148</v>
      </c>
      <c r="BF4" s="73" t="s">
        <v>107</v>
      </c>
      <c r="BG4" s="73" t="s">
        <v>151</v>
      </c>
      <c r="BH4" s="73" t="s">
        <v>108</v>
      </c>
      <c r="BI4" s="73" t="s">
        <v>148</v>
      </c>
      <c r="BJ4" s="73" t="s">
        <v>108</v>
      </c>
      <c r="BK4" s="73" t="s">
        <v>148</v>
      </c>
      <c r="BL4" s="73" t="s">
        <v>106</v>
      </c>
      <c r="BM4" s="73" t="s">
        <v>152</v>
      </c>
      <c r="BN4" s="73" t="s">
        <v>108</v>
      </c>
      <c r="BO4" s="73" t="s">
        <v>148</v>
      </c>
      <c r="BP4" s="73" t="s">
        <v>108</v>
      </c>
      <c r="BQ4" s="73" t="s">
        <v>148</v>
      </c>
      <c r="BR4" s="73" t="s">
        <v>108</v>
      </c>
      <c r="BS4" s="73" t="s">
        <v>148</v>
      </c>
      <c r="BT4" s="73" t="s">
        <v>109</v>
      </c>
      <c r="BU4" s="73" t="s">
        <v>153</v>
      </c>
      <c r="BV4" s="73" t="s">
        <v>108</v>
      </c>
      <c r="BW4" s="73" t="s">
        <v>148</v>
      </c>
      <c r="BX4" s="73" t="s">
        <v>108</v>
      </c>
      <c r="BY4" s="73" t="s">
        <v>148</v>
      </c>
      <c r="BZ4" s="73" t="s">
        <v>108</v>
      </c>
      <c r="CA4" s="73" t="s">
        <v>148</v>
      </c>
      <c r="CB4" s="73" t="s">
        <v>107</v>
      </c>
      <c r="CC4" s="73" t="s">
        <v>151</v>
      </c>
      <c r="CD4" s="73" t="s">
        <v>108</v>
      </c>
      <c r="CE4" s="73" t="s">
        <v>148</v>
      </c>
      <c r="CF4" s="73" t="s">
        <v>108</v>
      </c>
      <c r="CG4" s="73" t="s">
        <v>148</v>
      </c>
      <c r="CH4" s="73" t="s">
        <v>108</v>
      </c>
      <c r="CI4" s="73" t="s">
        <v>148</v>
      </c>
      <c r="CJ4" s="73" t="s">
        <v>108</v>
      </c>
      <c r="CK4" s="73" t="s">
        <v>148</v>
      </c>
      <c r="CL4" s="73" t="s">
        <v>108</v>
      </c>
      <c r="CM4" s="73" t="s">
        <v>148</v>
      </c>
      <c r="CN4" s="73" t="s">
        <v>106</v>
      </c>
      <c r="CO4" s="73" t="s">
        <v>154</v>
      </c>
      <c r="CP4" s="73" t="s">
        <v>107</v>
      </c>
      <c r="CQ4" s="73" t="s">
        <v>151</v>
      </c>
      <c r="CR4" s="73" t="s">
        <v>108</v>
      </c>
      <c r="CS4" s="73" t="s">
        <v>148</v>
      </c>
      <c r="CT4" s="73" t="s">
        <v>106</v>
      </c>
      <c r="CU4" s="73" t="s">
        <v>148</v>
      </c>
      <c r="CV4" s="73" t="s">
        <v>108</v>
      </c>
      <c r="CW4" s="73" t="s">
        <v>155</v>
      </c>
      <c r="CX4" s="73" t="s">
        <v>156</v>
      </c>
      <c r="CY4" s="73" t="s">
        <v>129</v>
      </c>
      <c r="CZ4" s="73" t="s">
        <v>157</v>
      </c>
      <c r="DA4" s="73" t="s">
        <v>158</v>
      </c>
      <c r="DB4" s="74" t="s">
        <v>159</v>
      </c>
    </row>
    <row r="5" spans="1:112" ht="13.2" x14ac:dyDescent="0.25">
      <c r="A5" s="78">
        <v>45687.346718541667</v>
      </c>
      <c r="B5" s="71" t="s">
        <v>108</v>
      </c>
      <c r="C5" s="71" t="s">
        <v>160</v>
      </c>
      <c r="D5" s="71" t="s">
        <v>106</v>
      </c>
      <c r="E5" s="71" t="s">
        <v>129</v>
      </c>
      <c r="F5" s="71" t="s">
        <v>106</v>
      </c>
      <c r="G5" s="71" t="s">
        <v>129</v>
      </c>
      <c r="H5" s="71" t="s">
        <v>106</v>
      </c>
      <c r="I5" s="71" t="s">
        <v>129</v>
      </c>
      <c r="J5" s="71" t="s">
        <v>107</v>
      </c>
      <c r="K5" s="71" t="s">
        <v>161</v>
      </c>
      <c r="L5" s="71" t="s">
        <v>108</v>
      </c>
      <c r="M5" s="71" t="s">
        <v>129</v>
      </c>
      <c r="N5" s="71" t="s">
        <v>106</v>
      </c>
      <c r="O5" s="71" t="s">
        <v>129</v>
      </c>
      <c r="P5" s="71" t="s">
        <v>106</v>
      </c>
      <c r="Q5" s="71" t="s">
        <v>129</v>
      </c>
      <c r="R5" s="71" t="s">
        <v>108</v>
      </c>
      <c r="S5" s="71" t="s">
        <v>162</v>
      </c>
      <c r="T5" s="71" t="s">
        <v>108</v>
      </c>
      <c r="U5" s="71" t="s">
        <v>163</v>
      </c>
      <c r="V5" s="71" t="s">
        <v>106</v>
      </c>
      <c r="W5" s="71" t="s">
        <v>129</v>
      </c>
      <c r="X5" s="71" t="s">
        <v>106</v>
      </c>
      <c r="Y5" s="71" t="s">
        <v>129</v>
      </c>
      <c r="Z5" s="71" t="s">
        <v>108</v>
      </c>
      <c r="AA5" s="71" t="s">
        <v>129</v>
      </c>
      <c r="AB5" s="71" t="s">
        <v>106</v>
      </c>
      <c r="AC5" s="71" t="s">
        <v>129</v>
      </c>
      <c r="AD5" s="71" t="s">
        <v>106</v>
      </c>
      <c r="AE5" s="71" t="s">
        <v>129</v>
      </c>
      <c r="AF5" s="71" t="s">
        <v>106</v>
      </c>
      <c r="AG5" s="71" t="s">
        <v>129</v>
      </c>
      <c r="AH5" s="71" t="s">
        <v>106</v>
      </c>
      <c r="AI5" s="71" t="s">
        <v>129</v>
      </c>
      <c r="AJ5" s="71" t="s">
        <v>106</v>
      </c>
      <c r="AK5" s="71" t="s">
        <v>129</v>
      </c>
      <c r="AL5" s="71" t="s">
        <v>106</v>
      </c>
      <c r="AM5" s="71" t="s">
        <v>129</v>
      </c>
      <c r="AN5" s="71" t="s">
        <v>106</v>
      </c>
      <c r="AO5" s="71" t="s">
        <v>129</v>
      </c>
      <c r="AP5" s="71" t="s">
        <v>106</v>
      </c>
      <c r="AQ5" s="71" t="s">
        <v>129</v>
      </c>
      <c r="AR5" s="71" t="s">
        <v>108</v>
      </c>
      <c r="AS5" s="71" t="s">
        <v>129</v>
      </c>
      <c r="AT5" s="71" t="s">
        <v>106</v>
      </c>
      <c r="AV5" s="71" t="s">
        <v>106</v>
      </c>
      <c r="AX5" s="71" t="s">
        <v>106</v>
      </c>
      <c r="AZ5" s="71" t="s">
        <v>106</v>
      </c>
      <c r="BB5" s="71" t="s">
        <v>106</v>
      </c>
      <c r="BD5" s="71" t="s">
        <v>108</v>
      </c>
      <c r="BF5" s="71" t="s">
        <v>107</v>
      </c>
      <c r="BG5" s="71" t="s">
        <v>164</v>
      </c>
      <c r="BH5" s="71" t="s">
        <v>106</v>
      </c>
      <c r="BJ5" s="71" t="s">
        <v>106</v>
      </c>
      <c r="BL5" s="71" t="s">
        <v>106</v>
      </c>
      <c r="BN5" s="71" t="s">
        <v>106</v>
      </c>
      <c r="BP5" s="71" t="s">
        <v>106</v>
      </c>
      <c r="BR5" s="71" t="s">
        <v>108</v>
      </c>
      <c r="BT5" s="71" t="s">
        <v>109</v>
      </c>
      <c r="BU5" s="71" t="s">
        <v>165</v>
      </c>
      <c r="BV5" s="71" t="s">
        <v>106</v>
      </c>
      <c r="BX5" s="71" t="s">
        <v>106</v>
      </c>
      <c r="BZ5" s="71" t="s">
        <v>108</v>
      </c>
      <c r="CB5" s="71" t="s">
        <v>106</v>
      </c>
      <c r="CD5" s="71" t="s">
        <v>106</v>
      </c>
      <c r="CF5" s="71" t="s">
        <v>108</v>
      </c>
      <c r="CH5" s="71" t="s">
        <v>106</v>
      </c>
      <c r="CJ5" s="71" t="s">
        <v>107</v>
      </c>
      <c r="CK5" s="71" t="s">
        <v>166</v>
      </c>
      <c r="CL5" s="71" t="s">
        <v>106</v>
      </c>
      <c r="CN5" s="71" t="s">
        <v>106</v>
      </c>
      <c r="CP5" s="71" t="s">
        <v>107</v>
      </c>
      <c r="CQ5" s="71" t="s">
        <v>167</v>
      </c>
      <c r="CR5" s="71" t="s">
        <v>106</v>
      </c>
      <c r="CT5" s="71" t="s">
        <v>106</v>
      </c>
      <c r="CV5" s="71" t="s">
        <v>106</v>
      </c>
      <c r="CW5" s="71" t="s">
        <v>129</v>
      </c>
      <c r="CX5" s="71" t="s">
        <v>168</v>
      </c>
      <c r="CY5" s="71">
        <v>1</v>
      </c>
      <c r="CZ5" s="71" t="s">
        <v>169</v>
      </c>
      <c r="DA5" s="71" t="s">
        <v>170</v>
      </c>
      <c r="DB5" s="72" t="s">
        <v>129</v>
      </c>
    </row>
    <row r="6" spans="1:112" ht="13.2" x14ac:dyDescent="0.25">
      <c r="A6" s="77">
        <v>45687.347014050931</v>
      </c>
      <c r="B6" s="73" t="s">
        <v>106</v>
      </c>
      <c r="C6" s="73" t="s">
        <v>129</v>
      </c>
      <c r="D6" s="73" t="s">
        <v>106</v>
      </c>
      <c r="E6" s="73" t="s">
        <v>129</v>
      </c>
      <c r="F6" s="73" t="s">
        <v>106</v>
      </c>
      <c r="G6" s="73" t="s">
        <v>129</v>
      </c>
      <c r="H6" s="73" t="s">
        <v>106</v>
      </c>
      <c r="I6" s="73" t="s">
        <v>129</v>
      </c>
      <c r="J6" s="73" t="s">
        <v>106</v>
      </c>
      <c r="K6" s="73" t="s">
        <v>129</v>
      </c>
      <c r="L6" s="73" t="s">
        <v>106</v>
      </c>
      <c r="M6" s="73" t="s">
        <v>129</v>
      </c>
      <c r="N6" s="73" t="s">
        <v>106</v>
      </c>
      <c r="O6" s="73" t="s">
        <v>129</v>
      </c>
      <c r="P6" s="73" t="s">
        <v>106</v>
      </c>
      <c r="Q6" s="73" t="s">
        <v>129</v>
      </c>
      <c r="R6" s="73" t="s">
        <v>108</v>
      </c>
      <c r="S6" s="73" t="s">
        <v>129</v>
      </c>
      <c r="T6" s="73" t="s">
        <v>108</v>
      </c>
      <c r="U6" s="73" t="s">
        <v>129</v>
      </c>
      <c r="V6" s="73" t="s">
        <v>106</v>
      </c>
      <c r="W6" s="73" t="s">
        <v>129</v>
      </c>
      <c r="X6" s="73" t="s">
        <v>106</v>
      </c>
      <c r="Y6" s="73" t="s">
        <v>129</v>
      </c>
      <c r="Z6" s="73" t="s">
        <v>108</v>
      </c>
      <c r="AA6" s="73" t="s">
        <v>129</v>
      </c>
      <c r="AB6" s="73" t="s">
        <v>106</v>
      </c>
      <c r="AC6" s="73" t="s">
        <v>129</v>
      </c>
      <c r="AD6" s="73" t="s">
        <v>106</v>
      </c>
      <c r="AE6" s="73" t="s">
        <v>129</v>
      </c>
      <c r="AF6" s="73" t="s">
        <v>106</v>
      </c>
      <c r="AG6" s="73" t="s">
        <v>129</v>
      </c>
      <c r="AH6" s="73" t="s">
        <v>106</v>
      </c>
      <c r="AI6" s="73" t="s">
        <v>129</v>
      </c>
      <c r="AJ6" s="73" t="s">
        <v>106</v>
      </c>
      <c r="AK6" s="73" t="s">
        <v>129</v>
      </c>
      <c r="AL6" s="73" t="s">
        <v>108</v>
      </c>
      <c r="AM6" s="73" t="s">
        <v>129</v>
      </c>
      <c r="AN6" s="73" t="s">
        <v>108</v>
      </c>
      <c r="AO6" s="73" t="s">
        <v>129</v>
      </c>
      <c r="AP6" s="73" t="s">
        <v>108</v>
      </c>
      <c r="AQ6" s="73" t="s">
        <v>129</v>
      </c>
      <c r="AR6" s="73" t="s">
        <v>108</v>
      </c>
      <c r="AS6" s="73" t="s">
        <v>129</v>
      </c>
      <c r="AT6" s="73" t="s">
        <v>108</v>
      </c>
      <c r="AU6" s="73" t="s">
        <v>129</v>
      </c>
      <c r="AV6" s="73" t="s">
        <v>106</v>
      </c>
      <c r="AW6" s="73" t="s">
        <v>129</v>
      </c>
      <c r="AX6" s="73" t="s">
        <v>108</v>
      </c>
      <c r="AY6" s="73" t="s">
        <v>129</v>
      </c>
      <c r="AZ6" s="73" t="s">
        <v>108</v>
      </c>
      <c r="BA6" s="73" t="s">
        <v>129</v>
      </c>
      <c r="BB6" s="73" t="s">
        <v>108</v>
      </c>
      <c r="BC6" s="73" t="s">
        <v>129</v>
      </c>
      <c r="BD6" s="73" t="s">
        <v>106</v>
      </c>
      <c r="BE6" s="73" t="s">
        <v>129</v>
      </c>
      <c r="BF6" s="73" t="s">
        <v>108</v>
      </c>
      <c r="BG6" s="73" t="s">
        <v>129</v>
      </c>
      <c r="BH6" s="73" t="s">
        <v>106</v>
      </c>
      <c r="BI6" s="73" t="s">
        <v>129</v>
      </c>
      <c r="BJ6" s="73" t="s">
        <v>106</v>
      </c>
      <c r="BK6" s="73" t="s">
        <v>129</v>
      </c>
      <c r="BL6" s="73" t="s">
        <v>106</v>
      </c>
      <c r="BM6" s="73" t="s">
        <v>129</v>
      </c>
      <c r="BN6" s="73" t="s">
        <v>108</v>
      </c>
      <c r="BO6" s="73" t="s">
        <v>129</v>
      </c>
      <c r="BP6" s="73" t="s">
        <v>108</v>
      </c>
      <c r="BQ6" s="73" t="s">
        <v>129</v>
      </c>
      <c r="BR6" s="73" t="s">
        <v>108</v>
      </c>
      <c r="BS6" s="73" t="s">
        <v>129</v>
      </c>
      <c r="BT6" s="73" t="s">
        <v>109</v>
      </c>
      <c r="BU6" s="73" t="s">
        <v>171</v>
      </c>
      <c r="BV6" s="73" t="s">
        <v>106</v>
      </c>
      <c r="BW6" s="73" t="s">
        <v>129</v>
      </c>
      <c r="BX6" s="73" t="s">
        <v>106</v>
      </c>
      <c r="BY6" s="73" t="s">
        <v>129</v>
      </c>
      <c r="BZ6" s="73" t="s">
        <v>108</v>
      </c>
      <c r="CA6" s="73" t="s">
        <v>129</v>
      </c>
      <c r="CB6" s="73" t="s">
        <v>107</v>
      </c>
      <c r="CC6" s="73" t="s">
        <v>172</v>
      </c>
      <c r="CD6" s="73" t="s">
        <v>108</v>
      </c>
      <c r="CE6" s="73" t="s">
        <v>129</v>
      </c>
      <c r="CF6" s="73" t="s">
        <v>108</v>
      </c>
      <c r="CG6" s="73" t="s">
        <v>129</v>
      </c>
      <c r="CH6" s="73" t="s">
        <v>108</v>
      </c>
      <c r="CI6" s="73" t="s">
        <v>129</v>
      </c>
      <c r="CJ6" s="73" t="s">
        <v>108</v>
      </c>
      <c r="CK6" s="73" t="s">
        <v>129</v>
      </c>
      <c r="CL6" s="73" t="s">
        <v>108</v>
      </c>
      <c r="CM6" s="73" t="s">
        <v>129</v>
      </c>
      <c r="CN6" s="73" t="s">
        <v>107</v>
      </c>
      <c r="CO6" s="73" t="s">
        <v>173</v>
      </c>
      <c r="CP6" s="73" t="s">
        <v>106</v>
      </c>
      <c r="CQ6" s="73" t="s">
        <v>174</v>
      </c>
      <c r="CR6" s="73" t="s">
        <v>108</v>
      </c>
      <c r="CS6" s="73" t="s">
        <v>129</v>
      </c>
      <c r="CT6" s="73" t="s">
        <v>106</v>
      </c>
      <c r="CU6" s="73" t="s">
        <v>129</v>
      </c>
      <c r="CV6" s="73" t="s">
        <v>108</v>
      </c>
      <c r="CW6" s="73" t="s">
        <v>129</v>
      </c>
      <c r="CX6" s="73" t="s">
        <v>175</v>
      </c>
      <c r="CY6" s="73" t="s">
        <v>129</v>
      </c>
      <c r="CZ6" s="73" t="s">
        <v>176</v>
      </c>
      <c r="DA6" s="73" t="s">
        <v>177</v>
      </c>
      <c r="DB6" s="74" t="s">
        <v>178</v>
      </c>
    </row>
    <row r="7" spans="1:112" ht="13.2" x14ac:dyDescent="0.25">
      <c r="A7" s="78">
        <v>45687.348190069446</v>
      </c>
      <c r="B7" s="71" t="s">
        <v>106</v>
      </c>
      <c r="D7" s="71" t="s">
        <v>106</v>
      </c>
      <c r="F7" s="71" t="s">
        <v>109</v>
      </c>
      <c r="G7" s="71" t="s">
        <v>179</v>
      </c>
      <c r="H7" s="71" t="s">
        <v>107</v>
      </c>
      <c r="J7" s="71" t="s">
        <v>109</v>
      </c>
      <c r="K7" s="71" t="s">
        <v>180</v>
      </c>
      <c r="L7" s="71" t="s">
        <v>106</v>
      </c>
      <c r="N7" s="71" t="s">
        <v>109</v>
      </c>
      <c r="O7" s="71" t="s">
        <v>181</v>
      </c>
      <c r="P7" s="71" t="s">
        <v>106</v>
      </c>
      <c r="R7" s="71" t="s">
        <v>108</v>
      </c>
      <c r="T7" s="71" t="s">
        <v>107</v>
      </c>
      <c r="U7" s="71" t="s">
        <v>182</v>
      </c>
      <c r="V7" s="71" t="s">
        <v>109</v>
      </c>
      <c r="X7" s="71" t="s">
        <v>106</v>
      </c>
      <c r="Y7" s="71" t="s">
        <v>183</v>
      </c>
      <c r="Z7" s="71" t="s">
        <v>108</v>
      </c>
      <c r="AB7" s="71" t="s">
        <v>107</v>
      </c>
      <c r="AD7" s="71" t="s">
        <v>106</v>
      </c>
      <c r="AF7" s="71" t="s">
        <v>106</v>
      </c>
      <c r="AH7" s="71" t="s">
        <v>107</v>
      </c>
      <c r="AJ7" s="71" t="s">
        <v>107</v>
      </c>
      <c r="AL7" s="71" t="s">
        <v>107</v>
      </c>
      <c r="AN7" s="71" t="s">
        <v>106</v>
      </c>
      <c r="AP7" s="71" t="s">
        <v>109</v>
      </c>
      <c r="AR7" s="71" t="s">
        <v>108</v>
      </c>
      <c r="AT7" s="71" t="s">
        <v>109</v>
      </c>
      <c r="AV7" s="71" t="s">
        <v>107</v>
      </c>
      <c r="AX7" s="71" t="s">
        <v>109</v>
      </c>
      <c r="AZ7" s="71" t="s">
        <v>108</v>
      </c>
      <c r="BB7" s="71" t="s">
        <v>108</v>
      </c>
      <c r="BD7" s="71" t="s">
        <v>109</v>
      </c>
      <c r="BF7" s="71" t="s">
        <v>109</v>
      </c>
      <c r="BH7" s="71" t="s">
        <v>109</v>
      </c>
      <c r="BJ7" s="71" t="s">
        <v>107</v>
      </c>
      <c r="BL7" s="71" t="s">
        <v>106</v>
      </c>
      <c r="BN7" s="71" t="s">
        <v>109</v>
      </c>
      <c r="BP7" s="71" t="s">
        <v>106</v>
      </c>
      <c r="BR7" s="71" t="s">
        <v>108</v>
      </c>
      <c r="BT7" s="71" t="s">
        <v>109</v>
      </c>
      <c r="BU7" s="71" t="s">
        <v>184</v>
      </c>
      <c r="BV7" s="71" t="s">
        <v>107</v>
      </c>
      <c r="BX7" s="71" t="s">
        <v>109</v>
      </c>
      <c r="BZ7" s="71" t="s">
        <v>108</v>
      </c>
      <c r="CB7" s="71" t="s">
        <v>107</v>
      </c>
      <c r="CD7" s="71" t="s">
        <v>108</v>
      </c>
      <c r="CF7" s="71" t="s">
        <v>108</v>
      </c>
      <c r="CH7" s="71" t="s">
        <v>109</v>
      </c>
      <c r="CI7" s="71" t="s">
        <v>185</v>
      </c>
      <c r="CJ7" s="71" t="s">
        <v>109</v>
      </c>
      <c r="CL7" s="71" t="s">
        <v>108</v>
      </c>
      <c r="CN7" s="71" t="s">
        <v>109</v>
      </c>
      <c r="CO7" s="71" t="s">
        <v>186</v>
      </c>
      <c r="CP7" s="71" t="s">
        <v>106</v>
      </c>
      <c r="CR7" s="71" t="s">
        <v>108</v>
      </c>
      <c r="CT7" s="71" t="s">
        <v>106</v>
      </c>
      <c r="CV7" s="71" t="s">
        <v>108</v>
      </c>
      <c r="CW7" s="71" t="s">
        <v>187</v>
      </c>
      <c r="CX7" s="71" t="s">
        <v>188</v>
      </c>
      <c r="CY7" s="71" t="s">
        <v>189</v>
      </c>
      <c r="CZ7" s="71" t="s">
        <v>190</v>
      </c>
      <c r="DA7" s="71" t="s">
        <v>191</v>
      </c>
      <c r="DB7" s="72" t="s">
        <v>190</v>
      </c>
    </row>
    <row r="8" spans="1:112" ht="13.2" x14ac:dyDescent="0.25">
      <c r="A8" s="77">
        <v>45687.3487021412</v>
      </c>
      <c r="B8" s="73" t="s">
        <v>108</v>
      </c>
      <c r="C8" s="73" t="s">
        <v>129</v>
      </c>
      <c r="D8" s="73" t="s">
        <v>108</v>
      </c>
      <c r="E8" s="73" t="s">
        <v>129</v>
      </c>
      <c r="F8" s="73" t="s">
        <v>109</v>
      </c>
      <c r="G8" s="73" t="s">
        <v>192</v>
      </c>
      <c r="H8" s="73" t="s">
        <v>106</v>
      </c>
      <c r="I8" s="73" t="s">
        <v>129</v>
      </c>
      <c r="J8" s="73" t="s">
        <v>106</v>
      </c>
      <c r="K8" s="73" t="s">
        <v>193</v>
      </c>
      <c r="L8" s="73" t="s">
        <v>108</v>
      </c>
      <c r="M8" s="73" t="s">
        <v>129</v>
      </c>
      <c r="N8" s="73" t="s">
        <v>108</v>
      </c>
      <c r="O8" s="73" t="s">
        <v>194</v>
      </c>
      <c r="P8" s="73" t="s">
        <v>108</v>
      </c>
      <c r="Q8" s="73" t="s">
        <v>129</v>
      </c>
      <c r="R8" s="73" t="s">
        <v>108</v>
      </c>
      <c r="S8" s="73" t="s">
        <v>195</v>
      </c>
      <c r="T8" s="73" t="s">
        <v>106</v>
      </c>
      <c r="U8" s="73" t="s">
        <v>129</v>
      </c>
      <c r="V8" s="73" t="s">
        <v>107</v>
      </c>
      <c r="W8" s="73" t="s">
        <v>196</v>
      </c>
      <c r="X8" s="73" t="s">
        <v>107</v>
      </c>
      <c r="Y8" s="73" t="s">
        <v>197</v>
      </c>
      <c r="Z8" s="73" t="s">
        <v>108</v>
      </c>
      <c r="AA8" s="73" t="s">
        <v>129</v>
      </c>
      <c r="AB8" s="73" t="s">
        <v>108</v>
      </c>
      <c r="AC8" s="73" t="s">
        <v>129</v>
      </c>
      <c r="AD8" s="73" t="s">
        <v>106</v>
      </c>
      <c r="AE8" s="73" t="s">
        <v>129</v>
      </c>
      <c r="AF8" s="73" t="s">
        <v>108</v>
      </c>
      <c r="AG8" s="73" t="s">
        <v>129</v>
      </c>
      <c r="AH8" s="73" t="s">
        <v>108</v>
      </c>
      <c r="AI8" s="73" t="s">
        <v>129</v>
      </c>
      <c r="AJ8" s="73" t="s">
        <v>108</v>
      </c>
      <c r="AK8" s="73" t="s">
        <v>129</v>
      </c>
      <c r="AL8" s="73" t="s">
        <v>108</v>
      </c>
      <c r="AM8" s="73" t="s">
        <v>129</v>
      </c>
      <c r="AN8" s="73" t="s">
        <v>108</v>
      </c>
      <c r="AO8" s="73" t="s">
        <v>129</v>
      </c>
      <c r="AP8" s="73" t="s">
        <v>108</v>
      </c>
      <c r="AQ8" s="73" t="s">
        <v>198</v>
      </c>
      <c r="AR8" s="73" t="s">
        <v>108</v>
      </c>
      <c r="AS8" s="73" t="s">
        <v>129</v>
      </c>
      <c r="AT8" s="73" t="s">
        <v>108</v>
      </c>
      <c r="AU8" s="73" t="s">
        <v>129</v>
      </c>
      <c r="AV8" s="73" t="s">
        <v>106</v>
      </c>
      <c r="AW8" s="73" t="s">
        <v>129</v>
      </c>
      <c r="AX8" s="73" t="s">
        <v>106</v>
      </c>
      <c r="AY8" s="73" t="s">
        <v>129</v>
      </c>
      <c r="AZ8" s="73" t="s">
        <v>108</v>
      </c>
      <c r="BA8" s="73" t="s">
        <v>129</v>
      </c>
      <c r="BB8" s="73" t="s">
        <v>108</v>
      </c>
      <c r="BC8" s="73" t="s">
        <v>129</v>
      </c>
      <c r="BD8" s="73" t="s">
        <v>108</v>
      </c>
      <c r="BE8" s="73" t="s">
        <v>199</v>
      </c>
      <c r="BF8" s="73" t="s">
        <v>108</v>
      </c>
      <c r="BG8" s="73" t="s">
        <v>200</v>
      </c>
      <c r="BH8" s="73" t="s">
        <v>106</v>
      </c>
      <c r="BI8" s="73" t="s">
        <v>129</v>
      </c>
      <c r="BJ8" s="73" t="s">
        <v>106</v>
      </c>
      <c r="BK8" s="73" t="s">
        <v>129</v>
      </c>
      <c r="BL8" s="73" t="s">
        <v>106</v>
      </c>
      <c r="BM8" s="73" t="s">
        <v>129</v>
      </c>
      <c r="BN8" s="73" t="s">
        <v>106</v>
      </c>
      <c r="BO8" s="73" t="s">
        <v>129</v>
      </c>
      <c r="BP8" s="73" t="s">
        <v>108</v>
      </c>
      <c r="BQ8" s="73" t="s">
        <v>129</v>
      </c>
      <c r="BR8" s="73" t="s">
        <v>108</v>
      </c>
      <c r="BS8" s="73" t="s">
        <v>201</v>
      </c>
      <c r="BT8" s="73" t="s">
        <v>109</v>
      </c>
      <c r="BU8" s="73" t="s">
        <v>202</v>
      </c>
      <c r="BV8" s="73" t="s">
        <v>109</v>
      </c>
      <c r="BW8" s="73" t="s">
        <v>203</v>
      </c>
      <c r="BX8" s="73" t="s">
        <v>107</v>
      </c>
      <c r="BY8" s="73" t="s">
        <v>204</v>
      </c>
      <c r="BZ8" s="73" t="s">
        <v>108</v>
      </c>
      <c r="CA8" s="73" t="s">
        <v>129</v>
      </c>
      <c r="CB8" s="73" t="s">
        <v>109</v>
      </c>
      <c r="CC8" s="73" t="s">
        <v>205</v>
      </c>
      <c r="CD8" s="73" t="s">
        <v>108</v>
      </c>
      <c r="CE8" s="73" t="s">
        <v>206</v>
      </c>
      <c r="CF8" s="73" t="s">
        <v>108</v>
      </c>
      <c r="CG8" s="73" t="s">
        <v>129</v>
      </c>
      <c r="CH8" s="73" t="s">
        <v>108</v>
      </c>
      <c r="CI8" s="73" t="s">
        <v>129</v>
      </c>
      <c r="CJ8" s="73" t="s">
        <v>106</v>
      </c>
      <c r="CK8" s="73" t="s">
        <v>129</v>
      </c>
      <c r="CL8" s="73" t="s">
        <v>106</v>
      </c>
      <c r="CM8" s="73" t="s">
        <v>129</v>
      </c>
      <c r="CN8" s="73" t="s">
        <v>109</v>
      </c>
      <c r="CO8" s="73" t="s">
        <v>207</v>
      </c>
      <c r="CP8" s="73" t="s">
        <v>108</v>
      </c>
      <c r="CQ8" s="73" t="s">
        <v>129</v>
      </c>
      <c r="CR8" s="73" t="s">
        <v>107</v>
      </c>
      <c r="CS8" s="73" t="s">
        <v>208</v>
      </c>
      <c r="CT8" s="73" t="s">
        <v>106</v>
      </c>
      <c r="CU8" s="73" t="s">
        <v>129</v>
      </c>
      <c r="CV8" s="73" t="s">
        <v>106</v>
      </c>
      <c r="CW8" s="73" t="s">
        <v>129</v>
      </c>
      <c r="CX8" s="73" t="s">
        <v>209</v>
      </c>
      <c r="CY8" s="73" t="s">
        <v>129</v>
      </c>
      <c r="CZ8" s="73" t="s">
        <v>210</v>
      </c>
      <c r="DA8" s="73" t="s">
        <v>211</v>
      </c>
      <c r="DB8" s="74" t="s">
        <v>212</v>
      </c>
    </row>
    <row r="9" spans="1:112" ht="13.2" x14ac:dyDescent="0.25">
      <c r="A9" s="78">
        <v>45687.348966516205</v>
      </c>
      <c r="B9" s="71" t="s">
        <v>108</v>
      </c>
      <c r="C9" s="71" t="s">
        <v>213</v>
      </c>
      <c r="D9" s="71" t="s">
        <v>106</v>
      </c>
      <c r="E9" s="71" t="s">
        <v>214</v>
      </c>
      <c r="F9" s="71" t="s">
        <v>107</v>
      </c>
      <c r="G9" s="71" t="s">
        <v>215</v>
      </c>
      <c r="H9" s="71" t="s">
        <v>106</v>
      </c>
      <c r="I9" s="71" t="s">
        <v>216</v>
      </c>
      <c r="J9" s="71" t="s">
        <v>107</v>
      </c>
      <c r="K9" s="71" t="s">
        <v>217</v>
      </c>
      <c r="L9" s="71" t="s">
        <v>106</v>
      </c>
      <c r="M9" s="71" t="s">
        <v>218</v>
      </c>
      <c r="N9" s="71" t="s">
        <v>106</v>
      </c>
      <c r="O9" s="71" t="s">
        <v>219</v>
      </c>
      <c r="P9" s="71" t="s">
        <v>106</v>
      </c>
      <c r="Q9" s="71" t="s">
        <v>220</v>
      </c>
      <c r="R9" s="71" t="s">
        <v>108</v>
      </c>
      <c r="S9" s="71" t="s">
        <v>221</v>
      </c>
      <c r="T9" s="71" t="s">
        <v>108</v>
      </c>
      <c r="U9" s="71" t="s">
        <v>222</v>
      </c>
      <c r="V9" s="71" t="s">
        <v>106</v>
      </c>
      <c r="W9" s="71" t="s">
        <v>223</v>
      </c>
      <c r="X9" s="71" t="s">
        <v>106</v>
      </c>
      <c r="Y9" s="71" t="s">
        <v>220</v>
      </c>
      <c r="Z9" s="71" t="s">
        <v>108</v>
      </c>
      <c r="AA9" s="71" t="s">
        <v>224</v>
      </c>
      <c r="AB9" s="71" t="s">
        <v>106</v>
      </c>
      <c r="AC9" s="71" t="s">
        <v>219</v>
      </c>
      <c r="AD9" s="71" t="s">
        <v>108</v>
      </c>
      <c r="AE9" s="71" t="s">
        <v>225</v>
      </c>
      <c r="AF9" s="71" t="s">
        <v>106</v>
      </c>
      <c r="AG9" s="71" t="s">
        <v>226</v>
      </c>
      <c r="AH9" s="71" t="s">
        <v>108</v>
      </c>
      <c r="AI9" s="71" t="s">
        <v>148</v>
      </c>
      <c r="AJ9" s="71" t="s">
        <v>106</v>
      </c>
      <c r="AK9" s="71" t="s">
        <v>126</v>
      </c>
      <c r="AL9" s="71" t="s">
        <v>106</v>
      </c>
      <c r="AM9" s="71" t="s">
        <v>126</v>
      </c>
      <c r="AN9" s="71" t="s">
        <v>108</v>
      </c>
      <c r="AO9" s="71" t="s">
        <v>126</v>
      </c>
      <c r="AP9" s="71" t="s">
        <v>108</v>
      </c>
      <c r="AQ9" s="71" t="s">
        <v>227</v>
      </c>
      <c r="AR9" s="71" t="s">
        <v>108</v>
      </c>
      <c r="AS9" s="71" t="s">
        <v>228</v>
      </c>
      <c r="AT9" s="71" t="s">
        <v>108</v>
      </c>
      <c r="AU9" s="71" t="s">
        <v>229</v>
      </c>
      <c r="AV9" s="71" t="s">
        <v>106</v>
      </c>
      <c r="AW9" s="71" t="s">
        <v>126</v>
      </c>
      <c r="AX9" s="71" t="s">
        <v>106</v>
      </c>
      <c r="AY9" s="71" t="s">
        <v>126</v>
      </c>
      <c r="AZ9" s="71" t="s">
        <v>108</v>
      </c>
      <c r="BA9" s="71" t="s">
        <v>126</v>
      </c>
      <c r="BB9" s="71" t="s">
        <v>106</v>
      </c>
      <c r="BC9" s="71" t="s">
        <v>126</v>
      </c>
      <c r="BD9" s="71" t="s">
        <v>108</v>
      </c>
      <c r="BE9" s="71" t="s">
        <v>126</v>
      </c>
      <c r="BF9" s="71" t="s">
        <v>108</v>
      </c>
      <c r="BG9" s="71" t="s">
        <v>126</v>
      </c>
      <c r="BH9" s="71" t="s">
        <v>107</v>
      </c>
      <c r="BI9" s="71" t="s">
        <v>151</v>
      </c>
      <c r="BJ9" s="71" t="s">
        <v>107</v>
      </c>
      <c r="BK9" s="71" t="s">
        <v>230</v>
      </c>
      <c r="BL9" s="71" t="s">
        <v>108</v>
      </c>
      <c r="BM9" s="71" t="s">
        <v>229</v>
      </c>
      <c r="BN9" s="71" t="s">
        <v>106</v>
      </c>
      <c r="BO9" s="71" t="s">
        <v>126</v>
      </c>
      <c r="BP9" s="71" t="s">
        <v>106</v>
      </c>
      <c r="BQ9" s="71" t="s">
        <v>231</v>
      </c>
      <c r="BR9" s="71" t="s">
        <v>108</v>
      </c>
      <c r="BS9" s="71" t="s">
        <v>228</v>
      </c>
      <c r="BT9" s="71" t="s">
        <v>109</v>
      </c>
      <c r="BU9" s="71" t="s">
        <v>153</v>
      </c>
      <c r="BV9" s="71" t="s">
        <v>106</v>
      </c>
      <c r="BW9" s="71" t="s">
        <v>126</v>
      </c>
      <c r="BX9" s="71" t="s">
        <v>106</v>
      </c>
      <c r="BY9" s="71" t="s">
        <v>126</v>
      </c>
      <c r="BZ9" s="71" t="s">
        <v>108</v>
      </c>
      <c r="CA9" s="71" t="s">
        <v>126</v>
      </c>
      <c r="CB9" s="71" t="s">
        <v>107</v>
      </c>
      <c r="CC9" s="71" t="s">
        <v>151</v>
      </c>
      <c r="CD9" s="71" t="s">
        <v>106</v>
      </c>
      <c r="CE9" s="71" t="s">
        <v>126</v>
      </c>
      <c r="CF9" s="71" t="s">
        <v>108</v>
      </c>
      <c r="CG9" s="71" t="s">
        <v>232</v>
      </c>
      <c r="CH9" s="71" t="s">
        <v>108</v>
      </c>
      <c r="CI9" s="71" t="s">
        <v>126</v>
      </c>
      <c r="CJ9" s="71" t="s">
        <v>106</v>
      </c>
      <c r="CK9" s="71" t="s">
        <v>126</v>
      </c>
      <c r="CL9" s="71" t="s">
        <v>108</v>
      </c>
      <c r="CM9" s="71" t="s">
        <v>233</v>
      </c>
      <c r="CN9" s="71" t="s">
        <v>106</v>
      </c>
      <c r="CO9" s="71" t="s">
        <v>234</v>
      </c>
      <c r="CP9" s="71" t="s">
        <v>106</v>
      </c>
      <c r="CQ9" s="71" t="s">
        <v>234</v>
      </c>
      <c r="CR9" s="71" t="s">
        <v>108</v>
      </c>
      <c r="CS9" s="71" t="s">
        <v>126</v>
      </c>
      <c r="CT9" s="71" t="s">
        <v>106</v>
      </c>
      <c r="CU9" s="71" t="s">
        <v>126</v>
      </c>
      <c r="CV9" s="71" t="s">
        <v>108</v>
      </c>
      <c r="CW9" s="71" t="s">
        <v>235</v>
      </c>
      <c r="CX9" s="71" t="s">
        <v>236</v>
      </c>
      <c r="CY9" s="71" t="s">
        <v>237</v>
      </c>
      <c r="CZ9" s="71" t="s">
        <v>238</v>
      </c>
      <c r="DA9" s="71" t="s">
        <v>239</v>
      </c>
      <c r="DB9" s="72" t="s">
        <v>240</v>
      </c>
    </row>
    <row r="10" spans="1:112" ht="13.2" x14ac:dyDescent="0.25">
      <c r="A10" s="77">
        <v>45687.349481516205</v>
      </c>
      <c r="B10" s="73" t="s">
        <v>108</v>
      </c>
      <c r="D10" s="73" t="s">
        <v>106</v>
      </c>
      <c r="E10" s="73" t="s">
        <v>241</v>
      </c>
      <c r="F10" s="73" t="s">
        <v>106</v>
      </c>
      <c r="H10" s="73" t="s">
        <v>108</v>
      </c>
      <c r="J10" s="73" t="s">
        <v>106</v>
      </c>
      <c r="L10" s="73" t="s">
        <v>106</v>
      </c>
      <c r="N10" s="73" t="s">
        <v>107</v>
      </c>
      <c r="O10" s="73" t="s">
        <v>242</v>
      </c>
      <c r="P10" s="73" t="s">
        <v>106</v>
      </c>
      <c r="R10" s="73" t="s">
        <v>106</v>
      </c>
      <c r="S10" s="73" t="s">
        <v>243</v>
      </c>
      <c r="T10" s="73" t="s">
        <v>106</v>
      </c>
      <c r="V10" s="73" t="s">
        <v>106</v>
      </c>
      <c r="X10" s="73" t="s">
        <v>107</v>
      </c>
      <c r="Y10" s="73" t="s">
        <v>244</v>
      </c>
      <c r="Z10" s="73" t="s">
        <v>108</v>
      </c>
      <c r="AB10" s="73" t="s">
        <v>107</v>
      </c>
      <c r="AD10" s="73" t="s">
        <v>106</v>
      </c>
      <c r="AF10" s="73" t="s">
        <v>108</v>
      </c>
      <c r="AH10" s="73" t="s">
        <v>108</v>
      </c>
      <c r="AJ10" s="73" t="s">
        <v>106</v>
      </c>
      <c r="AL10" s="73" t="s">
        <v>108</v>
      </c>
      <c r="AM10" s="73" t="s">
        <v>245</v>
      </c>
      <c r="AN10" s="73" t="s">
        <v>108</v>
      </c>
      <c r="AP10" s="73" t="s">
        <v>108</v>
      </c>
      <c r="AQ10" s="73" t="s">
        <v>246</v>
      </c>
      <c r="AR10" s="73" t="s">
        <v>108</v>
      </c>
      <c r="AS10" s="73" t="s">
        <v>247</v>
      </c>
      <c r="AT10" s="73" t="s">
        <v>106</v>
      </c>
      <c r="AV10" s="73" t="s">
        <v>106</v>
      </c>
      <c r="AX10" s="73" t="s">
        <v>106</v>
      </c>
      <c r="AZ10" s="73" t="s">
        <v>108</v>
      </c>
      <c r="BB10" s="73" t="s">
        <v>106</v>
      </c>
      <c r="BD10" s="73" t="s">
        <v>106</v>
      </c>
      <c r="BF10" s="73" t="s">
        <v>107</v>
      </c>
      <c r="BH10" s="73" t="s">
        <v>108</v>
      </c>
      <c r="BJ10" s="73" t="s">
        <v>106</v>
      </c>
      <c r="BL10" s="73" t="s">
        <v>106</v>
      </c>
      <c r="BN10" s="73" t="s">
        <v>106</v>
      </c>
      <c r="BP10" s="73" t="s">
        <v>108</v>
      </c>
      <c r="BR10" s="73" t="s">
        <v>108</v>
      </c>
      <c r="BS10" s="73" t="s">
        <v>248</v>
      </c>
      <c r="BT10" s="73" t="s">
        <v>109</v>
      </c>
      <c r="BV10" s="73" t="s">
        <v>106</v>
      </c>
      <c r="BW10" s="73" t="s">
        <v>249</v>
      </c>
      <c r="BX10" s="73" t="s">
        <v>106</v>
      </c>
      <c r="BZ10" s="73" t="s">
        <v>108</v>
      </c>
      <c r="CB10" s="73" t="s">
        <v>106</v>
      </c>
      <c r="CC10" s="73" t="s">
        <v>250</v>
      </c>
      <c r="CD10" s="73" t="s">
        <v>107</v>
      </c>
      <c r="CF10" s="73" t="s">
        <v>107</v>
      </c>
      <c r="CH10" s="73" t="s">
        <v>108</v>
      </c>
      <c r="CJ10" s="73" t="s">
        <v>108</v>
      </c>
      <c r="CL10" s="73" t="s">
        <v>106</v>
      </c>
      <c r="CN10" s="73" t="s">
        <v>106</v>
      </c>
      <c r="CO10" s="73" t="s">
        <v>251</v>
      </c>
      <c r="CP10" s="73" t="s">
        <v>107</v>
      </c>
      <c r="CR10" s="73" t="s">
        <v>108</v>
      </c>
      <c r="CT10" s="73" t="s">
        <v>106</v>
      </c>
      <c r="CV10" s="73" t="s">
        <v>106</v>
      </c>
      <c r="CW10" s="73" t="s">
        <v>252</v>
      </c>
      <c r="CX10" s="73" t="s">
        <v>253</v>
      </c>
      <c r="CY10" s="73" t="s">
        <v>254</v>
      </c>
      <c r="CZ10" s="73" t="s">
        <v>255</v>
      </c>
      <c r="DA10" s="73" t="s">
        <v>256</v>
      </c>
      <c r="DB10" s="74" t="s">
        <v>257</v>
      </c>
    </row>
    <row r="11" spans="1:112" ht="13.2" x14ac:dyDescent="0.25">
      <c r="A11" s="78">
        <v>45687.35027505787</v>
      </c>
      <c r="B11" s="71" t="s">
        <v>106</v>
      </c>
      <c r="D11" s="71" t="s">
        <v>107</v>
      </c>
      <c r="E11" s="71" t="s">
        <v>258</v>
      </c>
      <c r="F11" s="71" t="s">
        <v>107</v>
      </c>
      <c r="G11" s="71" t="s">
        <v>259</v>
      </c>
      <c r="H11" s="71" t="s">
        <v>106</v>
      </c>
      <c r="J11" s="71" t="s">
        <v>107</v>
      </c>
      <c r="K11" s="71" t="s">
        <v>260</v>
      </c>
      <c r="L11" s="71" t="s">
        <v>106</v>
      </c>
      <c r="N11" s="71" t="s">
        <v>106</v>
      </c>
      <c r="P11" s="71" t="s">
        <v>109</v>
      </c>
      <c r="Q11" s="71" t="s">
        <v>261</v>
      </c>
      <c r="R11" s="71" t="s">
        <v>108</v>
      </c>
      <c r="T11" s="71" t="s">
        <v>106</v>
      </c>
      <c r="V11" s="71" t="s">
        <v>106</v>
      </c>
      <c r="X11" s="71" t="s">
        <v>106</v>
      </c>
      <c r="Z11" s="71" t="s">
        <v>108</v>
      </c>
      <c r="AB11" s="71" t="s">
        <v>107</v>
      </c>
      <c r="AC11" s="71" t="s">
        <v>262</v>
      </c>
      <c r="AD11" s="71" t="s">
        <v>106</v>
      </c>
      <c r="AF11" s="71" t="s">
        <v>106</v>
      </c>
      <c r="AH11" s="71" t="s">
        <v>108</v>
      </c>
      <c r="AJ11" s="71" t="s">
        <v>108</v>
      </c>
      <c r="AL11" s="71" t="s">
        <v>108</v>
      </c>
      <c r="AN11" s="71" t="s">
        <v>108</v>
      </c>
      <c r="AP11" s="71" t="s">
        <v>108</v>
      </c>
      <c r="AR11" s="71" t="s">
        <v>106</v>
      </c>
      <c r="AT11" s="71" t="s">
        <v>107</v>
      </c>
      <c r="AU11" s="71" t="s">
        <v>263</v>
      </c>
      <c r="AV11" s="71" t="s">
        <v>106</v>
      </c>
      <c r="AX11" s="71" t="s">
        <v>106</v>
      </c>
      <c r="AZ11" s="71" t="s">
        <v>106</v>
      </c>
      <c r="BB11" s="71" t="s">
        <v>108</v>
      </c>
      <c r="BD11" s="71" t="s">
        <v>106</v>
      </c>
      <c r="BF11" s="71" t="s">
        <v>106</v>
      </c>
      <c r="BH11" s="71" t="s">
        <v>106</v>
      </c>
      <c r="BJ11" s="71" t="s">
        <v>106</v>
      </c>
      <c r="BL11" s="71" t="s">
        <v>106</v>
      </c>
      <c r="BN11" s="71" t="s">
        <v>106</v>
      </c>
      <c r="BP11" s="71" t="s">
        <v>106</v>
      </c>
      <c r="BQ11" s="71" t="s">
        <v>264</v>
      </c>
      <c r="BR11" s="71" t="s">
        <v>108</v>
      </c>
      <c r="BT11" s="71" t="s">
        <v>109</v>
      </c>
      <c r="BU11" s="71" t="s">
        <v>265</v>
      </c>
      <c r="BV11" s="71" t="s">
        <v>107</v>
      </c>
      <c r="BW11" s="71" t="s">
        <v>266</v>
      </c>
      <c r="BX11" s="71" t="s">
        <v>106</v>
      </c>
      <c r="BZ11" s="71" t="s">
        <v>108</v>
      </c>
      <c r="CB11" s="71" t="s">
        <v>106</v>
      </c>
      <c r="CD11" s="71" t="s">
        <v>106</v>
      </c>
      <c r="CF11" s="71" t="s">
        <v>106</v>
      </c>
      <c r="CH11" s="71" t="s">
        <v>108</v>
      </c>
      <c r="CJ11" s="71" t="s">
        <v>106</v>
      </c>
      <c r="CL11" s="71" t="s">
        <v>106</v>
      </c>
      <c r="CN11" s="71" t="s">
        <v>107</v>
      </c>
      <c r="CO11" s="71" t="s">
        <v>267</v>
      </c>
      <c r="CP11" s="71" t="s">
        <v>107</v>
      </c>
      <c r="CQ11" s="71" t="s">
        <v>268</v>
      </c>
      <c r="CR11" s="71" t="s">
        <v>106</v>
      </c>
      <c r="CT11" s="71" t="s">
        <v>106</v>
      </c>
      <c r="CV11" s="71" t="s">
        <v>106</v>
      </c>
      <c r="CW11" s="71" t="s">
        <v>269</v>
      </c>
      <c r="CX11" s="71" t="s">
        <v>270</v>
      </c>
      <c r="CY11" s="71" t="s">
        <v>271</v>
      </c>
      <c r="CZ11" s="71" t="s">
        <v>272</v>
      </c>
      <c r="DA11" s="71" t="s">
        <v>273</v>
      </c>
      <c r="DB11" s="72" t="s">
        <v>274</v>
      </c>
    </row>
    <row r="12" spans="1:112" ht="13.2" x14ac:dyDescent="0.25">
      <c r="A12" s="77">
        <v>45687.353287638893</v>
      </c>
      <c r="B12" s="73" t="s">
        <v>106</v>
      </c>
      <c r="D12" s="73" t="s">
        <v>106</v>
      </c>
      <c r="F12" s="73" t="s">
        <v>106</v>
      </c>
      <c r="H12" s="73" t="s">
        <v>106</v>
      </c>
      <c r="J12" s="73" t="s">
        <v>106</v>
      </c>
      <c r="L12" s="73" t="s">
        <v>106</v>
      </c>
      <c r="N12" s="73" t="s">
        <v>106</v>
      </c>
      <c r="P12" s="73" t="s">
        <v>107</v>
      </c>
      <c r="Q12" s="73" t="s">
        <v>275</v>
      </c>
      <c r="R12" s="73" t="s">
        <v>106</v>
      </c>
      <c r="T12" s="73" t="s">
        <v>106</v>
      </c>
      <c r="V12" s="73" t="s">
        <v>106</v>
      </c>
      <c r="X12" s="73" t="s">
        <v>106</v>
      </c>
      <c r="Z12" s="73" t="s">
        <v>106</v>
      </c>
      <c r="AB12" s="73" t="s">
        <v>107</v>
      </c>
      <c r="AC12" s="73" t="s">
        <v>276</v>
      </c>
      <c r="AD12" s="73" t="s">
        <v>106</v>
      </c>
      <c r="AF12" s="73" t="s">
        <v>107</v>
      </c>
      <c r="AH12" s="73" t="s">
        <v>108</v>
      </c>
      <c r="AJ12" s="73" t="s">
        <v>106</v>
      </c>
      <c r="AL12" s="73" t="s">
        <v>108</v>
      </c>
      <c r="AN12" s="73" t="s">
        <v>108</v>
      </c>
      <c r="AP12" s="73" t="s">
        <v>107</v>
      </c>
      <c r="AQ12" s="73" t="s">
        <v>277</v>
      </c>
      <c r="AR12" s="73" t="s">
        <v>106</v>
      </c>
      <c r="AT12" s="73" t="s">
        <v>107</v>
      </c>
      <c r="AU12" s="73" t="s">
        <v>278</v>
      </c>
      <c r="AV12" s="73" t="s">
        <v>108</v>
      </c>
      <c r="AX12" s="73" t="s">
        <v>106</v>
      </c>
      <c r="AZ12" s="73" t="s">
        <v>107</v>
      </c>
      <c r="BA12" s="73" t="s">
        <v>279</v>
      </c>
      <c r="BB12" s="73" t="s">
        <v>106</v>
      </c>
      <c r="BD12" s="73" t="s">
        <v>106</v>
      </c>
      <c r="BF12" s="73" t="s">
        <v>106</v>
      </c>
      <c r="BH12" s="73" t="s">
        <v>106</v>
      </c>
      <c r="BJ12" s="73" t="s">
        <v>106</v>
      </c>
      <c r="BL12" s="73" t="s">
        <v>106</v>
      </c>
      <c r="BN12" s="73" t="s">
        <v>106</v>
      </c>
      <c r="BP12" s="73" t="s">
        <v>106</v>
      </c>
      <c r="BR12" s="73" t="s">
        <v>108</v>
      </c>
      <c r="BS12" s="73" t="s">
        <v>280</v>
      </c>
      <c r="BT12" s="73" t="s">
        <v>107</v>
      </c>
      <c r="BV12" s="73" t="s">
        <v>106</v>
      </c>
      <c r="BX12" s="73" t="s">
        <v>106</v>
      </c>
      <c r="BZ12" s="73" t="s">
        <v>108</v>
      </c>
      <c r="CB12" s="73" t="s">
        <v>107</v>
      </c>
      <c r="CD12" s="73" t="s">
        <v>106</v>
      </c>
      <c r="CE12" s="73" t="s">
        <v>281</v>
      </c>
      <c r="CF12" s="73" t="s">
        <v>108</v>
      </c>
      <c r="CH12" s="73" t="s">
        <v>106</v>
      </c>
      <c r="CJ12" s="73" t="s">
        <v>108</v>
      </c>
      <c r="CL12" s="73" t="s">
        <v>108</v>
      </c>
      <c r="CN12" s="73" t="s">
        <v>106</v>
      </c>
      <c r="CP12" s="73" t="s">
        <v>107</v>
      </c>
      <c r="CR12" s="73" t="s">
        <v>108</v>
      </c>
      <c r="CT12" s="73" t="s">
        <v>106</v>
      </c>
      <c r="CV12" s="73" t="s">
        <v>108</v>
      </c>
      <c r="CW12" s="73" t="s">
        <v>282</v>
      </c>
      <c r="CX12" s="73" t="s">
        <v>283</v>
      </c>
      <c r="CY12" s="73" t="s">
        <v>284</v>
      </c>
      <c r="CZ12" s="73" t="s">
        <v>285</v>
      </c>
      <c r="DA12" s="73" t="s">
        <v>286</v>
      </c>
      <c r="DB12" s="74" t="s">
        <v>287</v>
      </c>
    </row>
    <row r="13" spans="1:112" ht="13.2" x14ac:dyDescent="0.25">
      <c r="A13" s="78">
        <v>45687.353417662038</v>
      </c>
      <c r="B13" s="71" t="s">
        <v>106</v>
      </c>
      <c r="D13" s="71" t="s">
        <v>106</v>
      </c>
      <c r="F13" s="71" t="s">
        <v>106</v>
      </c>
      <c r="H13" s="71" t="s">
        <v>106</v>
      </c>
      <c r="J13" s="71" t="s">
        <v>106</v>
      </c>
      <c r="L13" s="71" t="s">
        <v>106</v>
      </c>
      <c r="N13" s="71" t="s">
        <v>106</v>
      </c>
      <c r="P13" s="71" t="s">
        <v>106</v>
      </c>
      <c r="R13" s="71" t="s">
        <v>106</v>
      </c>
      <c r="T13" s="71" t="s">
        <v>106</v>
      </c>
      <c r="V13" s="71" t="s">
        <v>106</v>
      </c>
      <c r="X13" s="71" t="s">
        <v>106</v>
      </c>
      <c r="Z13" s="71" t="s">
        <v>106</v>
      </c>
      <c r="AB13" s="71" t="s">
        <v>106</v>
      </c>
      <c r="AD13" s="71" t="s">
        <v>106</v>
      </c>
      <c r="AF13" s="71" t="s">
        <v>106</v>
      </c>
      <c r="AH13" s="71" t="s">
        <v>106</v>
      </c>
      <c r="AJ13" s="71" t="s">
        <v>106</v>
      </c>
      <c r="AL13" s="71" t="s">
        <v>106</v>
      </c>
      <c r="AN13" s="71" t="s">
        <v>106</v>
      </c>
      <c r="AP13" s="71" t="s">
        <v>106</v>
      </c>
      <c r="AR13" s="71" t="s">
        <v>106</v>
      </c>
      <c r="AT13" s="71" t="s">
        <v>106</v>
      </c>
      <c r="AV13" s="71" t="s">
        <v>106</v>
      </c>
      <c r="AX13" s="71" t="s">
        <v>106</v>
      </c>
      <c r="AZ13" s="71" t="s">
        <v>106</v>
      </c>
      <c r="BB13" s="71" t="s">
        <v>106</v>
      </c>
      <c r="BD13" s="71" t="s">
        <v>106</v>
      </c>
      <c r="BF13" s="71" t="s">
        <v>106</v>
      </c>
      <c r="BH13" s="71" t="s">
        <v>106</v>
      </c>
      <c r="BJ13" s="71" t="s">
        <v>106</v>
      </c>
      <c r="BL13" s="71" t="s">
        <v>106</v>
      </c>
      <c r="BN13" s="71" t="s">
        <v>106</v>
      </c>
      <c r="BP13" s="71" t="s">
        <v>106</v>
      </c>
      <c r="BR13" s="71" t="s">
        <v>106</v>
      </c>
      <c r="BT13" s="71" t="s">
        <v>107</v>
      </c>
      <c r="BU13" s="71" t="s">
        <v>153</v>
      </c>
      <c r="BV13" s="71" t="s">
        <v>106</v>
      </c>
      <c r="BX13" s="71" t="s">
        <v>106</v>
      </c>
      <c r="BZ13" s="71" t="s">
        <v>107</v>
      </c>
      <c r="CB13" s="71" t="s">
        <v>107</v>
      </c>
      <c r="CD13" s="71" t="s">
        <v>106</v>
      </c>
      <c r="CF13" s="71" t="s">
        <v>106</v>
      </c>
      <c r="CH13" s="71" t="s">
        <v>106</v>
      </c>
      <c r="CJ13" s="71" t="s">
        <v>106</v>
      </c>
      <c r="CL13" s="71" t="s">
        <v>106</v>
      </c>
      <c r="CN13" s="71" t="s">
        <v>107</v>
      </c>
      <c r="CP13" s="71" t="s">
        <v>107</v>
      </c>
      <c r="CR13" s="71" t="s">
        <v>106</v>
      </c>
      <c r="CT13" s="71" t="s">
        <v>106</v>
      </c>
      <c r="CV13" s="71" t="s">
        <v>106</v>
      </c>
      <c r="CW13" s="71" t="s">
        <v>288</v>
      </c>
      <c r="CX13" s="71" t="s">
        <v>289</v>
      </c>
      <c r="CY13" s="71" t="s">
        <v>290</v>
      </c>
      <c r="CZ13" s="71" t="s">
        <v>291</v>
      </c>
      <c r="DA13" s="71" t="s">
        <v>292</v>
      </c>
      <c r="DB13" s="72" t="s">
        <v>293</v>
      </c>
    </row>
    <row r="14" spans="1:112" ht="13.2" x14ac:dyDescent="0.25">
      <c r="A14" s="77">
        <v>45687.353864444449</v>
      </c>
      <c r="B14" s="73" t="s">
        <v>106</v>
      </c>
      <c r="D14" s="73" t="s">
        <v>107</v>
      </c>
      <c r="E14" s="73" t="s">
        <v>294</v>
      </c>
      <c r="F14" s="73" t="s">
        <v>108</v>
      </c>
      <c r="G14" s="73" t="s">
        <v>295</v>
      </c>
      <c r="H14" s="73" t="s">
        <v>108</v>
      </c>
      <c r="J14" s="73" t="s">
        <v>108</v>
      </c>
      <c r="K14" s="73" t="s">
        <v>296</v>
      </c>
      <c r="L14" s="73" t="s">
        <v>106</v>
      </c>
      <c r="N14" s="73" t="s">
        <v>108</v>
      </c>
      <c r="P14" s="73" t="s">
        <v>109</v>
      </c>
      <c r="Q14" s="73" t="s">
        <v>297</v>
      </c>
      <c r="R14" s="73" t="s">
        <v>106</v>
      </c>
      <c r="T14" s="73" t="s">
        <v>108</v>
      </c>
      <c r="U14" s="73" t="s">
        <v>298</v>
      </c>
      <c r="V14" s="73" t="s">
        <v>106</v>
      </c>
      <c r="X14" s="73" t="s">
        <v>106</v>
      </c>
      <c r="Z14" s="73" t="s">
        <v>108</v>
      </c>
      <c r="AB14" s="73" t="s">
        <v>107</v>
      </c>
      <c r="AC14" s="73" t="s">
        <v>299</v>
      </c>
      <c r="AD14" s="73" t="s">
        <v>106</v>
      </c>
      <c r="AF14" s="73" t="s">
        <v>106</v>
      </c>
      <c r="AH14" s="73" t="s">
        <v>106</v>
      </c>
      <c r="AJ14" s="73" t="s">
        <v>108</v>
      </c>
      <c r="AL14" s="73" t="s">
        <v>108</v>
      </c>
      <c r="AN14" s="73" t="s">
        <v>108</v>
      </c>
      <c r="AP14" s="73" t="s">
        <v>108</v>
      </c>
      <c r="AR14" s="73" t="s">
        <v>108</v>
      </c>
      <c r="AT14" s="73" t="s">
        <v>106</v>
      </c>
      <c r="AV14" s="73" t="s">
        <v>108</v>
      </c>
      <c r="AX14" s="73" t="s">
        <v>106</v>
      </c>
      <c r="AZ14" s="73" t="s">
        <v>106</v>
      </c>
      <c r="BB14" s="73" t="s">
        <v>106</v>
      </c>
      <c r="BD14" s="73" t="s">
        <v>108</v>
      </c>
      <c r="BF14" s="73" t="s">
        <v>106</v>
      </c>
      <c r="BH14" s="73" t="s">
        <v>108</v>
      </c>
      <c r="BJ14" s="73" t="s">
        <v>108</v>
      </c>
      <c r="BL14" s="73" t="s">
        <v>106</v>
      </c>
      <c r="BM14" s="73" t="s">
        <v>300</v>
      </c>
      <c r="BN14" s="73" t="s">
        <v>108</v>
      </c>
      <c r="BP14" s="73" t="s">
        <v>108</v>
      </c>
      <c r="BR14" s="73" t="s">
        <v>108</v>
      </c>
      <c r="BT14" s="73" t="s">
        <v>107</v>
      </c>
      <c r="BU14" s="73" t="s">
        <v>301</v>
      </c>
      <c r="BV14" s="73" t="s">
        <v>106</v>
      </c>
      <c r="BX14" s="73" t="s">
        <v>106</v>
      </c>
      <c r="BZ14" s="73" t="s">
        <v>108</v>
      </c>
      <c r="CB14" s="73" t="s">
        <v>107</v>
      </c>
      <c r="CD14" s="73" t="s">
        <v>106</v>
      </c>
      <c r="CF14" s="73" t="s">
        <v>106</v>
      </c>
      <c r="CH14" s="73" t="s">
        <v>108</v>
      </c>
      <c r="CJ14" s="73" t="s">
        <v>106</v>
      </c>
      <c r="CL14" s="73" t="s">
        <v>106</v>
      </c>
      <c r="CN14" s="73" t="s">
        <v>106</v>
      </c>
      <c r="CP14" s="73" t="s">
        <v>107</v>
      </c>
      <c r="CR14" s="73" t="s">
        <v>108</v>
      </c>
      <c r="CT14" s="73" t="s">
        <v>106</v>
      </c>
      <c r="CV14" s="73" t="s">
        <v>108</v>
      </c>
      <c r="CW14" s="73" t="s">
        <v>302</v>
      </c>
      <c r="CX14" s="73" t="s">
        <v>303</v>
      </c>
      <c r="CY14" s="73" t="s">
        <v>304</v>
      </c>
      <c r="CZ14" s="73" t="s">
        <v>305</v>
      </c>
      <c r="DA14" s="73" t="s">
        <v>306</v>
      </c>
      <c r="DB14" s="74" t="s">
        <v>129</v>
      </c>
    </row>
    <row r="15" spans="1:112" ht="13.2" x14ac:dyDescent="0.25">
      <c r="A15" s="78">
        <v>45687.353926956013</v>
      </c>
      <c r="B15" s="71" t="s">
        <v>106</v>
      </c>
      <c r="C15" s="71" t="s">
        <v>307</v>
      </c>
      <c r="D15" s="71" t="s">
        <v>106</v>
      </c>
      <c r="E15" s="71" t="s">
        <v>308</v>
      </c>
      <c r="F15" s="71" t="s">
        <v>106</v>
      </c>
      <c r="G15" s="71" t="s">
        <v>127</v>
      </c>
      <c r="H15" s="71" t="s">
        <v>106</v>
      </c>
      <c r="I15" s="71" t="s">
        <v>309</v>
      </c>
      <c r="J15" s="71" t="s">
        <v>107</v>
      </c>
      <c r="K15" s="71" t="s">
        <v>310</v>
      </c>
      <c r="L15" s="71" t="s">
        <v>108</v>
      </c>
      <c r="N15" s="71" t="s">
        <v>108</v>
      </c>
      <c r="P15" s="71" t="s">
        <v>108</v>
      </c>
      <c r="R15" s="71" t="s">
        <v>108</v>
      </c>
      <c r="S15" s="71" t="s">
        <v>311</v>
      </c>
      <c r="T15" s="71" t="s">
        <v>108</v>
      </c>
      <c r="V15" s="71" t="s">
        <v>108</v>
      </c>
      <c r="W15" s="71" t="s">
        <v>312</v>
      </c>
      <c r="X15" s="71" t="s">
        <v>108</v>
      </c>
      <c r="Z15" s="71" t="s">
        <v>108</v>
      </c>
      <c r="AB15" s="71" t="s">
        <v>106</v>
      </c>
      <c r="AD15" s="71" t="s">
        <v>106</v>
      </c>
      <c r="AE15" s="71" t="s">
        <v>313</v>
      </c>
      <c r="AF15" s="71" t="s">
        <v>108</v>
      </c>
      <c r="AH15" s="71" t="s">
        <v>108</v>
      </c>
      <c r="AJ15" s="71" t="s">
        <v>108</v>
      </c>
      <c r="AL15" s="71" t="s">
        <v>106</v>
      </c>
      <c r="AM15" s="71" t="s">
        <v>314</v>
      </c>
      <c r="AN15" s="71" t="s">
        <v>108</v>
      </c>
      <c r="AP15" s="71" t="s">
        <v>108</v>
      </c>
      <c r="AR15" s="71" t="s">
        <v>108</v>
      </c>
      <c r="AT15" s="71" t="s">
        <v>107</v>
      </c>
      <c r="AV15" s="71" t="s">
        <v>106</v>
      </c>
      <c r="AX15" s="71" t="s">
        <v>106</v>
      </c>
      <c r="AY15" s="71" t="s">
        <v>127</v>
      </c>
      <c r="AZ15" s="71" t="s">
        <v>108</v>
      </c>
      <c r="BB15" s="71" t="s">
        <v>108</v>
      </c>
      <c r="BD15" s="71" t="s">
        <v>107</v>
      </c>
      <c r="BF15" s="71" t="s">
        <v>106</v>
      </c>
      <c r="BH15" s="71" t="s">
        <v>107</v>
      </c>
      <c r="BJ15" s="71" t="s">
        <v>106</v>
      </c>
      <c r="BL15" s="71" t="s">
        <v>107</v>
      </c>
      <c r="BN15" s="71" t="s">
        <v>106</v>
      </c>
      <c r="BP15" s="71" t="s">
        <v>108</v>
      </c>
      <c r="BQ15" s="71" t="s">
        <v>315</v>
      </c>
      <c r="BR15" s="71" t="s">
        <v>108</v>
      </c>
      <c r="BT15" s="71" t="s">
        <v>106</v>
      </c>
      <c r="BU15" s="71" t="s">
        <v>316</v>
      </c>
      <c r="BV15" s="71" t="s">
        <v>107</v>
      </c>
      <c r="BW15" s="71" t="s">
        <v>127</v>
      </c>
      <c r="BX15" s="71" t="s">
        <v>106</v>
      </c>
      <c r="BZ15" s="71" t="s">
        <v>108</v>
      </c>
      <c r="CB15" s="71" t="s">
        <v>106</v>
      </c>
      <c r="CD15" s="71" t="s">
        <v>107</v>
      </c>
      <c r="CF15" s="71" t="s">
        <v>106</v>
      </c>
      <c r="CG15" s="71" t="s">
        <v>317</v>
      </c>
      <c r="CH15" s="71" t="s">
        <v>106</v>
      </c>
      <c r="CJ15" s="71" t="s">
        <v>106</v>
      </c>
      <c r="CK15" s="71" t="s">
        <v>318</v>
      </c>
      <c r="CL15" s="71" t="s">
        <v>106</v>
      </c>
      <c r="CN15" s="71" t="s">
        <v>108</v>
      </c>
      <c r="CP15" s="71" t="s">
        <v>107</v>
      </c>
      <c r="CR15" s="71" t="s">
        <v>108</v>
      </c>
      <c r="CT15" s="71" t="s">
        <v>106</v>
      </c>
      <c r="CV15" s="71" t="s">
        <v>108</v>
      </c>
      <c r="CW15" s="71" t="s">
        <v>129</v>
      </c>
      <c r="CX15" s="71" t="s">
        <v>319</v>
      </c>
      <c r="CY15" s="71" t="s">
        <v>320</v>
      </c>
      <c r="CZ15" s="71" t="s">
        <v>321</v>
      </c>
      <c r="DA15" s="71" t="s">
        <v>322</v>
      </c>
      <c r="DB15" s="72" t="s">
        <v>129</v>
      </c>
    </row>
    <row r="16" spans="1:112" ht="13.2" x14ac:dyDescent="0.25">
      <c r="A16" s="77">
        <v>45687.355035092594</v>
      </c>
      <c r="B16" s="73" t="s">
        <v>106</v>
      </c>
      <c r="D16" s="73" t="s">
        <v>106</v>
      </c>
      <c r="F16" s="73" t="s">
        <v>108</v>
      </c>
      <c r="H16" s="73" t="s">
        <v>108</v>
      </c>
      <c r="J16" s="73" t="s">
        <v>107</v>
      </c>
      <c r="K16" s="73" t="s">
        <v>323</v>
      </c>
      <c r="L16" s="73" t="s">
        <v>107</v>
      </c>
      <c r="N16" s="73" t="s">
        <v>106</v>
      </c>
      <c r="P16" s="73" t="s">
        <v>107</v>
      </c>
      <c r="Q16" s="73" t="s">
        <v>324</v>
      </c>
      <c r="R16" s="73" t="s">
        <v>106</v>
      </c>
      <c r="T16" s="73" t="s">
        <v>108</v>
      </c>
      <c r="V16" s="73" t="s">
        <v>106</v>
      </c>
      <c r="X16" s="73" t="s">
        <v>106</v>
      </c>
      <c r="Z16" s="73" t="s">
        <v>108</v>
      </c>
      <c r="AB16" s="73" t="s">
        <v>109</v>
      </c>
      <c r="AC16" s="73" t="s">
        <v>325</v>
      </c>
      <c r="AD16" s="73" t="s">
        <v>107</v>
      </c>
      <c r="AF16" s="73" t="s">
        <v>106</v>
      </c>
      <c r="AH16" s="73" t="s">
        <v>106</v>
      </c>
      <c r="AJ16" s="73" t="s">
        <v>108</v>
      </c>
      <c r="AL16" s="73" t="s">
        <v>108</v>
      </c>
      <c r="AN16" s="73" t="s">
        <v>108</v>
      </c>
      <c r="AP16" s="73" t="s">
        <v>108</v>
      </c>
      <c r="AR16" s="73" t="s">
        <v>108</v>
      </c>
      <c r="AT16" s="73" t="s">
        <v>106</v>
      </c>
      <c r="AV16" s="73" t="s">
        <v>106</v>
      </c>
      <c r="AX16" s="73" t="s">
        <v>108</v>
      </c>
      <c r="AZ16" s="73" t="s">
        <v>106</v>
      </c>
      <c r="BA16" s="73" t="s">
        <v>326</v>
      </c>
      <c r="BB16" s="73" t="s">
        <v>106</v>
      </c>
      <c r="BD16" s="73" t="s">
        <v>106</v>
      </c>
      <c r="BF16" s="73" t="s">
        <v>106</v>
      </c>
      <c r="BH16" s="73" t="s">
        <v>106</v>
      </c>
      <c r="BJ16" s="73" t="s">
        <v>106</v>
      </c>
      <c r="BL16" s="73" t="s">
        <v>106</v>
      </c>
      <c r="BN16" s="73" t="s">
        <v>106</v>
      </c>
      <c r="BP16" s="73" t="s">
        <v>106</v>
      </c>
      <c r="BR16" s="73" t="s">
        <v>108</v>
      </c>
      <c r="BT16" s="73" t="s">
        <v>107</v>
      </c>
      <c r="BV16" s="73" t="s">
        <v>108</v>
      </c>
      <c r="BX16" s="73" t="s">
        <v>106</v>
      </c>
      <c r="BZ16" s="73" t="s">
        <v>106</v>
      </c>
      <c r="CA16" s="73" t="s">
        <v>327</v>
      </c>
      <c r="CB16" s="73" t="s">
        <v>107</v>
      </c>
      <c r="CD16" s="73" t="s">
        <v>108</v>
      </c>
      <c r="CF16" s="73" t="s">
        <v>108</v>
      </c>
      <c r="CH16" s="73" t="s">
        <v>108</v>
      </c>
      <c r="CJ16" s="73" t="s">
        <v>106</v>
      </c>
      <c r="CL16" s="73" t="s">
        <v>108</v>
      </c>
      <c r="CN16" s="73" t="s">
        <v>106</v>
      </c>
      <c r="CP16" s="73" t="s">
        <v>107</v>
      </c>
      <c r="CR16" s="73" t="s">
        <v>106</v>
      </c>
      <c r="CT16" s="73" t="s">
        <v>108</v>
      </c>
      <c r="CV16" s="73" t="s">
        <v>108</v>
      </c>
      <c r="CW16" s="73" t="s">
        <v>122</v>
      </c>
      <c r="CX16" s="73" t="s">
        <v>328</v>
      </c>
      <c r="CY16" s="73" t="s">
        <v>122</v>
      </c>
      <c r="CZ16" s="73" t="s">
        <v>329</v>
      </c>
      <c r="DA16" s="73" t="s">
        <v>330</v>
      </c>
      <c r="DB16" s="74" t="s">
        <v>331</v>
      </c>
    </row>
    <row r="17" spans="1:106" ht="13.2" x14ac:dyDescent="0.25">
      <c r="A17" s="78">
        <v>45687.356558472224</v>
      </c>
      <c r="B17" s="71" t="s">
        <v>106</v>
      </c>
      <c r="D17" s="71" t="s">
        <v>108</v>
      </c>
      <c r="F17" s="71" t="s">
        <v>106</v>
      </c>
      <c r="H17" s="71" t="s">
        <v>106</v>
      </c>
      <c r="J17" s="71" t="s">
        <v>106</v>
      </c>
      <c r="L17" s="71" t="s">
        <v>106</v>
      </c>
      <c r="N17" s="71" t="s">
        <v>108</v>
      </c>
      <c r="P17" s="71" t="s">
        <v>106</v>
      </c>
      <c r="R17" s="71" t="s">
        <v>106</v>
      </c>
      <c r="T17" s="71" t="s">
        <v>108</v>
      </c>
      <c r="V17" s="71" t="s">
        <v>108</v>
      </c>
      <c r="X17" s="71" t="s">
        <v>106</v>
      </c>
      <c r="Z17" s="71" t="s">
        <v>108</v>
      </c>
      <c r="AB17" s="71" t="s">
        <v>106</v>
      </c>
      <c r="AD17" s="71" t="s">
        <v>106</v>
      </c>
      <c r="AF17" s="71" t="s">
        <v>108</v>
      </c>
      <c r="AH17" s="71" t="s">
        <v>108</v>
      </c>
      <c r="AJ17" s="71" t="s">
        <v>108</v>
      </c>
      <c r="AL17" s="71" t="s">
        <v>108</v>
      </c>
      <c r="AN17" s="71" t="s">
        <v>108</v>
      </c>
      <c r="AP17" s="71" t="s">
        <v>108</v>
      </c>
      <c r="AR17" s="71" t="s">
        <v>108</v>
      </c>
      <c r="AT17" s="71" t="s">
        <v>106</v>
      </c>
      <c r="AV17" s="71" t="s">
        <v>106</v>
      </c>
      <c r="AX17" s="71" t="s">
        <v>108</v>
      </c>
      <c r="AZ17" s="71" t="s">
        <v>106</v>
      </c>
      <c r="BB17" s="71" t="s">
        <v>108</v>
      </c>
      <c r="BD17" s="71" t="s">
        <v>106</v>
      </c>
      <c r="BF17" s="71" t="s">
        <v>106</v>
      </c>
      <c r="BH17" s="71" t="s">
        <v>108</v>
      </c>
      <c r="BJ17" s="71" t="s">
        <v>108</v>
      </c>
      <c r="BL17" s="71" t="s">
        <v>108</v>
      </c>
      <c r="BN17" s="71" t="s">
        <v>108</v>
      </c>
      <c r="BP17" s="71" t="s">
        <v>108</v>
      </c>
      <c r="BR17" s="71" t="s">
        <v>108</v>
      </c>
      <c r="BT17" s="71" t="s">
        <v>109</v>
      </c>
      <c r="BU17" s="71" t="s">
        <v>332</v>
      </c>
      <c r="BV17" s="71" t="s">
        <v>106</v>
      </c>
      <c r="BX17" s="71" t="s">
        <v>108</v>
      </c>
      <c r="BZ17" s="71" t="s">
        <v>108</v>
      </c>
      <c r="CB17" s="71" t="s">
        <v>107</v>
      </c>
      <c r="CC17" s="71" t="s">
        <v>333</v>
      </c>
      <c r="CD17" s="71" t="s">
        <v>108</v>
      </c>
      <c r="CF17" s="71" t="s">
        <v>108</v>
      </c>
      <c r="CH17" s="71" t="s">
        <v>108</v>
      </c>
      <c r="CJ17" s="71" t="s">
        <v>108</v>
      </c>
      <c r="CL17" s="71" t="s">
        <v>106</v>
      </c>
      <c r="CN17" s="71" t="s">
        <v>106</v>
      </c>
      <c r="CO17" s="71" t="s">
        <v>334</v>
      </c>
      <c r="CP17" s="71" t="s">
        <v>107</v>
      </c>
      <c r="CQ17" s="71" t="s">
        <v>335</v>
      </c>
      <c r="CR17" s="71" t="s">
        <v>106</v>
      </c>
      <c r="CT17" s="71" t="s">
        <v>106</v>
      </c>
      <c r="CV17" s="71" t="s">
        <v>108</v>
      </c>
      <c r="CW17" s="71" t="s">
        <v>336</v>
      </c>
      <c r="CX17" s="71" t="s">
        <v>337</v>
      </c>
      <c r="CY17" s="71" t="s">
        <v>338</v>
      </c>
      <c r="CZ17" s="71" t="s">
        <v>339</v>
      </c>
      <c r="DA17" s="71" t="s">
        <v>340</v>
      </c>
      <c r="DB17" s="72" t="s">
        <v>341</v>
      </c>
    </row>
    <row r="18" spans="1:106" ht="13.2" x14ac:dyDescent="0.25">
      <c r="A18" s="77">
        <v>45687.357914629625</v>
      </c>
      <c r="B18" s="73" t="s">
        <v>106</v>
      </c>
      <c r="D18" s="73" t="s">
        <v>106</v>
      </c>
      <c r="F18" s="73" t="s">
        <v>107</v>
      </c>
      <c r="G18" s="73" t="s">
        <v>342</v>
      </c>
      <c r="H18" s="73" t="s">
        <v>106</v>
      </c>
      <c r="I18" s="73" t="s">
        <v>343</v>
      </c>
      <c r="J18" s="73" t="s">
        <v>107</v>
      </c>
      <c r="K18" s="73" t="s">
        <v>344</v>
      </c>
      <c r="L18" s="73" t="s">
        <v>106</v>
      </c>
      <c r="N18" s="73" t="s">
        <v>106</v>
      </c>
      <c r="P18" s="73" t="s">
        <v>107</v>
      </c>
      <c r="Q18" s="73" t="s">
        <v>345</v>
      </c>
      <c r="R18" s="73" t="s">
        <v>108</v>
      </c>
      <c r="T18" s="73" t="s">
        <v>108</v>
      </c>
      <c r="V18" s="73" t="s">
        <v>106</v>
      </c>
      <c r="X18" s="73" t="s">
        <v>106</v>
      </c>
      <c r="Z18" s="73" t="s">
        <v>108</v>
      </c>
      <c r="AB18" s="73" t="s">
        <v>107</v>
      </c>
      <c r="AC18" s="73" t="s">
        <v>346</v>
      </c>
      <c r="AD18" s="73" t="s">
        <v>108</v>
      </c>
      <c r="AF18" s="73" t="s">
        <v>106</v>
      </c>
      <c r="AH18" s="73" t="s">
        <v>108</v>
      </c>
      <c r="AJ18" s="73" t="s">
        <v>108</v>
      </c>
      <c r="AK18" s="73" t="s">
        <v>347</v>
      </c>
      <c r="AL18" s="73" t="s">
        <v>108</v>
      </c>
      <c r="AN18" s="73" t="s">
        <v>108</v>
      </c>
      <c r="AP18" s="73" t="s">
        <v>108</v>
      </c>
      <c r="AQ18" s="73" t="s">
        <v>348</v>
      </c>
      <c r="AR18" s="73" t="s">
        <v>108</v>
      </c>
      <c r="AT18" s="73" t="s">
        <v>108</v>
      </c>
      <c r="AV18" s="73" t="s">
        <v>108</v>
      </c>
      <c r="AX18" s="73" t="s">
        <v>106</v>
      </c>
      <c r="AY18" s="73" t="s">
        <v>349</v>
      </c>
      <c r="AZ18" s="73" t="s">
        <v>108</v>
      </c>
      <c r="BB18" s="73" t="s">
        <v>108</v>
      </c>
      <c r="BD18" s="73" t="s">
        <v>108</v>
      </c>
      <c r="BF18" s="73" t="s">
        <v>108</v>
      </c>
      <c r="BH18" s="73" t="s">
        <v>106</v>
      </c>
      <c r="BJ18" s="73" t="s">
        <v>108</v>
      </c>
      <c r="BL18" s="73" t="s">
        <v>108</v>
      </c>
      <c r="BN18" s="73" t="s">
        <v>108</v>
      </c>
      <c r="BP18" s="73" t="s">
        <v>108</v>
      </c>
      <c r="BR18" s="73" t="s">
        <v>106</v>
      </c>
      <c r="BT18" s="73" t="s">
        <v>109</v>
      </c>
      <c r="BV18" s="73" t="s">
        <v>106</v>
      </c>
      <c r="BX18" s="73" t="s">
        <v>107</v>
      </c>
      <c r="BY18" s="73" t="s">
        <v>350</v>
      </c>
      <c r="BZ18" s="73" t="s">
        <v>108</v>
      </c>
      <c r="CB18" s="73" t="s">
        <v>107</v>
      </c>
      <c r="CD18" s="73" t="s">
        <v>106</v>
      </c>
      <c r="CE18" s="73" t="s">
        <v>351</v>
      </c>
      <c r="CF18" s="73" t="s">
        <v>106</v>
      </c>
      <c r="CH18" s="73" t="s">
        <v>108</v>
      </c>
      <c r="CJ18" s="73" t="s">
        <v>106</v>
      </c>
      <c r="CL18" s="73" t="s">
        <v>108</v>
      </c>
      <c r="CN18" s="73" t="s">
        <v>107</v>
      </c>
      <c r="CP18" s="73" t="s">
        <v>109</v>
      </c>
      <c r="CR18" s="73" t="s">
        <v>108</v>
      </c>
      <c r="CT18" s="73" t="s">
        <v>106</v>
      </c>
      <c r="CU18" s="73" t="s">
        <v>352</v>
      </c>
      <c r="CV18" s="73" t="s">
        <v>108</v>
      </c>
      <c r="CW18" s="73" t="s">
        <v>353</v>
      </c>
      <c r="CX18" s="73" t="s">
        <v>354</v>
      </c>
      <c r="CY18" s="73" t="s">
        <v>129</v>
      </c>
      <c r="CZ18" s="73" t="s">
        <v>355</v>
      </c>
      <c r="DA18" s="73" t="s">
        <v>356</v>
      </c>
      <c r="DB18" s="74" t="s">
        <v>357</v>
      </c>
    </row>
    <row r="19" spans="1:106" ht="13.2" x14ac:dyDescent="0.25">
      <c r="A19" s="78">
        <v>45687.359651921295</v>
      </c>
      <c r="B19" s="71" t="s">
        <v>106</v>
      </c>
      <c r="D19" s="71" t="s">
        <v>107</v>
      </c>
      <c r="E19" s="71" t="s">
        <v>358</v>
      </c>
      <c r="F19" s="71" t="s">
        <v>106</v>
      </c>
      <c r="G19" s="71" t="s">
        <v>359</v>
      </c>
      <c r="H19" s="71" t="s">
        <v>106</v>
      </c>
      <c r="J19" s="71" t="s">
        <v>106</v>
      </c>
      <c r="L19" s="71" t="s">
        <v>106</v>
      </c>
      <c r="N19" s="71" t="s">
        <v>106</v>
      </c>
      <c r="P19" s="71" t="s">
        <v>107</v>
      </c>
      <c r="Q19" s="71" t="s">
        <v>360</v>
      </c>
      <c r="R19" s="71" t="s">
        <v>106</v>
      </c>
      <c r="T19" s="71" t="s">
        <v>106</v>
      </c>
      <c r="U19" s="71" t="s">
        <v>361</v>
      </c>
      <c r="V19" s="71" t="s">
        <v>106</v>
      </c>
      <c r="X19" s="71" t="s">
        <v>106</v>
      </c>
      <c r="Z19" s="71" t="s">
        <v>106</v>
      </c>
      <c r="AB19" s="71" t="s">
        <v>106</v>
      </c>
      <c r="AC19" s="71" t="s">
        <v>362</v>
      </c>
      <c r="AD19" s="71" t="s">
        <v>108</v>
      </c>
      <c r="AF19" s="71" t="s">
        <v>108</v>
      </c>
      <c r="AH19" s="71" t="s">
        <v>108</v>
      </c>
      <c r="AJ19" s="71" t="s">
        <v>108</v>
      </c>
      <c r="AL19" s="71" t="s">
        <v>108</v>
      </c>
      <c r="AN19" s="71" t="s">
        <v>108</v>
      </c>
      <c r="AP19" s="71" t="s">
        <v>106</v>
      </c>
      <c r="AR19" s="71" t="s">
        <v>106</v>
      </c>
      <c r="AT19" s="71" t="s">
        <v>108</v>
      </c>
      <c r="AV19" s="71" t="s">
        <v>108</v>
      </c>
      <c r="AX19" s="71" t="s">
        <v>106</v>
      </c>
      <c r="AZ19" s="71" t="s">
        <v>106</v>
      </c>
      <c r="BB19" s="71" t="s">
        <v>106</v>
      </c>
      <c r="BD19" s="71" t="s">
        <v>108</v>
      </c>
      <c r="BF19" s="71" t="s">
        <v>107</v>
      </c>
      <c r="BG19" s="71" t="s">
        <v>363</v>
      </c>
      <c r="BH19" s="71" t="s">
        <v>107</v>
      </c>
      <c r="BI19" s="71" t="s">
        <v>364</v>
      </c>
      <c r="BJ19" s="71" t="s">
        <v>107</v>
      </c>
      <c r="BK19" s="71" t="s">
        <v>365</v>
      </c>
      <c r="BL19" s="71" t="s">
        <v>108</v>
      </c>
      <c r="BN19" s="71" t="s">
        <v>107</v>
      </c>
      <c r="BO19" s="71" t="s">
        <v>366</v>
      </c>
      <c r="BP19" s="71" t="s">
        <v>108</v>
      </c>
      <c r="BR19" s="71" t="s">
        <v>106</v>
      </c>
      <c r="BT19" s="71" t="s">
        <v>106</v>
      </c>
      <c r="BU19" s="71" t="s">
        <v>367</v>
      </c>
      <c r="BV19" s="71" t="s">
        <v>106</v>
      </c>
      <c r="BX19" s="71" t="s">
        <v>108</v>
      </c>
      <c r="BZ19" s="71" t="s">
        <v>108</v>
      </c>
      <c r="CB19" s="71" t="s">
        <v>109</v>
      </c>
      <c r="CC19" s="71" t="s">
        <v>368</v>
      </c>
      <c r="CD19" s="71" t="s">
        <v>108</v>
      </c>
      <c r="CF19" s="71" t="s">
        <v>108</v>
      </c>
      <c r="CH19" s="71" t="s">
        <v>108</v>
      </c>
      <c r="CJ19" s="71" t="s">
        <v>106</v>
      </c>
      <c r="CL19" s="71" t="s">
        <v>106</v>
      </c>
      <c r="CN19" s="71" t="s">
        <v>108</v>
      </c>
      <c r="CP19" s="71" t="s">
        <v>107</v>
      </c>
      <c r="CQ19" s="71" t="s">
        <v>369</v>
      </c>
      <c r="CR19" s="71" t="s">
        <v>108</v>
      </c>
      <c r="CT19" s="71" t="s">
        <v>106</v>
      </c>
      <c r="CV19" s="71" t="s">
        <v>106</v>
      </c>
      <c r="CW19" s="71" t="s">
        <v>370</v>
      </c>
      <c r="CX19" s="71" t="s">
        <v>371</v>
      </c>
      <c r="CY19" s="71" t="s">
        <v>372</v>
      </c>
      <c r="CZ19" s="71" t="s">
        <v>373</v>
      </c>
      <c r="DA19" s="71" t="s">
        <v>374</v>
      </c>
      <c r="DB19" s="72" t="s">
        <v>372</v>
      </c>
    </row>
    <row r="20" spans="1:106" ht="13.2" x14ac:dyDescent="0.25">
      <c r="A20" s="77">
        <v>45687.359913877313</v>
      </c>
      <c r="B20" s="73" t="s">
        <v>106</v>
      </c>
      <c r="C20" s="73" t="s">
        <v>129</v>
      </c>
      <c r="D20" s="73" t="s">
        <v>106</v>
      </c>
      <c r="E20" s="73" t="s">
        <v>129</v>
      </c>
      <c r="F20" s="73" t="s">
        <v>107</v>
      </c>
      <c r="G20" s="73" t="s">
        <v>375</v>
      </c>
      <c r="H20" s="73" t="s">
        <v>106</v>
      </c>
      <c r="I20" s="73" t="s">
        <v>376</v>
      </c>
      <c r="J20" s="73" t="s">
        <v>106</v>
      </c>
      <c r="K20" s="73" t="s">
        <v>129</v>
      </c>
      <c r="L20" s="73" t="s">
        <v>106</v>
      </c>
      <c r="M20" s="73" t="s">
        <v>377</v>
      </c>
      <c r="N20" s="73" t="s">
        <v>107</v>
      </c>
      <c r="O20" s="73" t="s">
        <v>378</v>
      </c>
      <c r="P20" s="73" t="s">
        <v>106</v>
      </c>
      <c r="R20" s="73" t="s">
        <v>106</v>
      </c>
      <c r="S20" s="73" t="s">
        <v>379</v>
      </c>
      <c r="T20" s="73" t="s">
        <v>106</v>
      </c>
      <c r="V20" s="73" t="s">
        <v>107</v>
      </c>
      <c r="W20" s="73" t="s">
        <v>380</v>
      </c>
      <c r="X20" s="73" t="s">
        <v>106</v>
      </c>
      <c r="Z20" s="73" t="s">
        <v>107</v>
      </c>
      <c r="AA20" s="73" t="s">
        <v>381</v>
      </c>
      <c r="AB20" s="73" t="s">
        <v>106</v>
      </c>
      <c r="AC20" s="73" t="s">
        <v>382</v>
      </c>
      <c r="AD20" s="73" t="s">
        <v>106</v>
      </c>
      <c r="AE20" s="73" t="s">
        <v>383</v>
      </c>
      <c r="AF20" s="73" t="s">
        <v>107</v>
      </c>
      <c r="AG20" s="73" t="s">
        <v>384</v>
      </c>
      <c r="AH20" s="73" t="s">
        <v>107</v>
      </c>
      <c r="AI20" s="73" t="s">
        <v>385</v>
      </c>
      <c r="AJ20" s="73" t="s">
        <v>107</v>
      </c>
      <c r="AK20" s="73" t="s">
        <v>386</v>
      </c>
      <c r="AL20" s="73" t="s">
        <v>107</v>
      </c>
      <c r="AM20" s="73" t="s">
        <v>387</v>
      </c>
      <c r="AN20" s="73" t="s">
        <v>106</v>
      </c>
      <c r="AO20" s="73" t="s">
        <v>129</v>
      </c>
      <c r="AP20" s="73" t="s">
        <v>106</v>
      </c>
      <c r="AR20" s="73" t="s">
        <v>106</v>
      </c>
      <c r="AS20" s="73" t="s">
        <v>388</v>
      </c>
      <c r="AT20" s="73" t="s">
        <v>107</v>
      </c>
      <c r="AU20" s="73" t="s">
        <v>389</v>
      </c>
      <c r="AV20" s="73" t="s">
        <v>106</v>
      </c>
      <c r="AW20" s="73" t="s">
        <v>129</v>
      </c>
      <c r="AX20" s="73" t="s">
        <v>106</v>
      </c>
      <c r="AY20" s="73" t="s">
        <v>390</v>
      </c>
      <c r="AZ20" s="73" t="s">
        <v>106</v>
      </c>
      <c r="BA20" s="73" t="s">
        <v>129</v>
      </c>
      <c r="BB20" s="73" t="s">
        <v>106</v>
      </c>
      <c r="BC20" s="73" t="s">
        <v>129</v>
      </c>
      <c r="BD20" s="73" t="s">
        <v>106</v>
      </c>
      <c r="BE20" s="73" t="s">
        <v>391</v>
      </c>
      <c r="BF20" s="73" t="s">
        <v>106</v>
      </c>
      <c r="BG20" s="73" t="s">
        <v>129</v>
      </c>
      <c r="BH20" s="73" t="s">
        <v>107</v>
      </c>
      <c r="BI20" s="73" t="s">
        <v>392</v>
      </c>
      <c r="BJ20" s="73" t="s">
        <v>107</v>
      </c>
      <c r="BK20" s="73" t="s">
        <v>393</v>
      </c>
      <c r="BL20" s="73" t="s">
        <v>106</v>
      </c>
      <c r="BM20" s="73" t="s">
        <v>129</v>
      </c>
      <c r="BN20" s="73" t="s">
        <v>107</v>
      </c>
      <c r="BO20" s="73" t="s">
        <v>394</v>
      </c>
      <c r="BP20" s="73" t="s">
        <v>106</v>
      </c>
      <c r="BQ20" s="73" t="s">
        <v>129</v>
      </c>
      <c r="BR20" s="73" t="s">
        <v>106</v>
      </c>
      <c r="BS20" s="73" t="s">
        <v>129</v>
      </c>
      <c r="BT20" s="73" t="s">
        <v>106</v>
      </c>
      <c r="BU20" s="73" t="s">
        <v>129</v>
      </c>
      <c r="BV20" s="73" t="s">
        <v>107</v>
      </c>
      <c r="BW20" s="73" t="s">
        <v>395</v>
      </c>
      <c r="BX20" s="73" t="s">
        <v>107</v>
      </c>
      <c r="BY20" s="73" t="s">
        <v>396</v>
      </c>
      <c r="BZ20" s="73" t="s">
        <v>106</v>
      </c>
      <c r="CA20" s="73" t="s">
        <v>129</v>
      </c>
      <c r="CB20" s="73" t="s">
        <v>106</v>
      </c>
      <c r="CC20" s="73" t="s">
        <v>397</v>
      </c>
      <c r="CD20" s="73" t="s">
        <v>106</v>
      </c>
      <c r="CE20" s="73" t="s">
        <v>129</v>
      </c>
      <c r="CF20" s="73" t="s">
        <v>107</v>
      </c>
      <c r="CG20" s="73" t="s">
        <v>398</v>
      </c>
      <c r="CH20" s="73" t="s">
        <v>106</v>
      </c>
      <c r="CI20" s="73" t="s">
        <v>129</v>
      </c>
      <c r="CJ20" s="73" t="s">
        <v>106</v>
      </c>
      <c r="CK20" s="73" t="s">
        <v>129</v>
      </c>
      <c r="CL20" s="73" t="s">
        <v>106</v>
      </c>
      <c r="CM20" s="73" t="s">
        <v>129</v>
      </c>
      <c r="CN20" s="73" t="s">
        <v>106</v>
      </c>
      <c r="CO20" s="73" t="s">
        <v>399</v>
      </c>
      <c r="CP20" s="73" t="s">
        <v>106</v>
      </c>
      <c r="CQ20" s="73" t="s">
        <v>400</v>
      </c>
      <c r="CR20" s="73" t="s">
        <v>106</v>
      </c>
      <c r="CS20" s="73" t="s">
        <v>401</v>
      </c>
      <c r="CT20" s="73" t="s">
        <v>107</v>
      </c>
      <c r="CU20" s="73" t="s">
        <v>402</v>
      </c>
      <c r="CV20" s="73" t="s">
        <v>106</v>
      </c>
      <c r="CW20" s="73" t="s">
        <v>403</v>
      </c>
      <c r="CX20" s="73" t="s">
        <v>404</v>
      </c>
      <c r="CY20" s="73" t="s">
        <v>129</v>
      </c>
      <c r="CZ20" s="73" t="s">
        <v>405</v>
      </c>
      <c r="DA20" s="73" t="s">
        <v>406</v>
      </c>
      <c r="DB20" s="74" t="s">
        <v>129</v>
      </c>
    </row>
    <row r="21" spans="1:106" ht="13.2" x14ac:dyDescent="0.25">
      <c r="A21" s="78">
        <v>45687.35997012732</v>
      </c>
      <c r="B21" s="71" t="s">
        <v>106</v>
      </c>
      <c r="C21" s="71" t="s">
        <v>407</v>
      </c>
      <c r="D21" s="71" t="s">
        <v>106</v>
      </c>
      <c r="E21" s="71" t="s">
        <v>408</v>
      </c>
      <c r="F21" s="71" t="s">
        <v>106</v>
      </c>
      <c r="G21" s="71" t="s">
        <v>409</v>
      </c>
      <c r="H21" s="71" t="s">
        <v>106</v>
      </c>
      <c r="I21" s="71" t="s">
        <v>126</v>
      </c>
      <c r="J21" s="71" t="s">
        <v>106</v>
      </c>
      <c r="K21" s="71" t="s">
        <v>148</v>
      </c>
      <c r="L21" s="71" t="s">
        <v>106</v>
      </c>
      <c r="M21" s="71" t="s">
        <v>409</v>
      </c>
      <c r="N21" s="71" t="s">
        <v>106</v>
      </c>
      <c r="O21" s="71" t="s">
        <v>148</v>
      </c>
      <c r="P21" s="71" t="s">
        <v>107</v>
      </c>
      <c r="Q21" s="71" t="s">
        <v>151</v>
      </c>
      <c r="R21" s="71" t="s">
        <v>108</v>
      </c>
      <c r="S21" s="71" t="s">
        <v>410</v>
      </c>
      <c r="T21" s="71" t="s">
        <v>106</v>
      </c>
      <c r="U21" s="71" t="s">
        <v>411</v>
      </c>
      <c r="V21" s="71" t="s">
        <v>106</v>
      </c>
      <c r="W21" s="71" t="s">
        <v>126</v>
      </c>
      <c r="X21" s="71" t="s">
        <v>106</v>
      </c>
      <c r="Y21" s="71" t="s">
        <v>126</v>
      </c>
      <c r="Z21" s="71" t="s">
        <v>106</v>
      </c>
      <c r="AA21" s="71" t="s">
        <v>412</v>
      </c>
      <c r="AB21" s="71" t="s">
        <v>107</v>
      </c>
      <c r="AC21" s="71" t="s">
        <v>151</v>
      </c>
      <c r="AD21" s="71" t="s">
        <v>106</v>
      </c>
      <c r="AE21" s="71" t="s">
        <v>130</v>
      </c>
      <c r="AF21" s="71" t="s">
        <v>106</v>
      </c>
      <c r="AH21" s="71" t="s">
        <v>106</v>
      </c>
      <c r="AI21" s="71" t="s">
        <v>413</v>
      </c>
      <c r="AJ21" s="71" t="s">
        <v>106</v>
      </c>
      <c r="AK21" s="71" t="s">
        <v>414</v>
      </c>
      <c r="AL21" s="71" t="s">
        <v>106</v>
      </c>
      <c r="AM21" s="71" t="s">
        <v>415</v>
      </c>
      <c r="AN21" s="71" t="s">
        <v>106</v>
      </c>
      <c r="AO21" s="71" t="s">
        <v>416</v>
      </c>
      <c r="AP21" s="71" t="s">
        <v>106</v>
      </c>
      <c r="AQ21" s="71" t="s">
        <v>417</v>
      </c>
      <c r="AR21" s="71" t="s">
        <v>106</v>
      </c>
      <c r="AS21" s="71" t="s">
        <v>418</v>
      </c>
      <c r="AT21" s="71" t="s">
        <v>106</v>
      </c>
      <c r="AU21" s="71" t="s">
        <v>419</v>
      </c>
      <c r="AV21" s="71" t="s">
        <v>106</v>
      </c>
      <c r="AX21" s="71" t="s">
        <v>106</v>
      </c>
      <c r="AY21" s="71" t="s">
        <v>420</v>
      </c>
      <c r="AZ21" s="71" t="s">
        <v>106</v>
      </c>
      <c r="BA21" s="71" t="s">
        <v>421</v>
      </c>
      <c r="BB21" s="71" t="s">
        <v>106</v>
      </c>
      <c r="BD21" s="71" t="s">
        <v>106</v>
      </c>
      <c r="BE21" s="71" t="s">
        <v>422</v>
      </c>
      <c r="BF21" s="71" t="s">
        <v>106</v>
      </c>
      <c r="BH21" s="71" t="s">
        <v>106</v>
      </c>
      <c r="BI21" s="71" t="s">
        <v>423</v>
      </c>
      <c r="BJ21" s="71" t="s">
        <v>106</v>
      </c>
      <c r="BL21" s="71" t="s">
        <v>106</v>
      </c>
      <c r="BM21" s="71" t="s">
        <v>424</v>
      </c>
      <c r="BN21" s="71" t="s">
        <v>106</v>
      </c>
      <c r="BO21" s="71" t="s">
        <v>425</v>
      </c>
      <c r="BP21" s="71" t="s">
        <v>106</v>
      </c>
      <c r="BQ21" s="71" t="s">
        <v>426</v>
      </c>
      <c r="BR21" s="71" t="s">
        <v>106</v>
      </c>
      <c r="BT21" s="71" t="s">
        <v>107</v>
      </c>
      <c r="BV21" s="71" t="s">
        <v>107</v>
      </c>
      <c r="BX21" s="71" t="s">
        <v>106</v>
      </c>
      <c r="BY21" s="71" t="s">
        <v>427</v>
      </c>
      <c r="BZ21" s="71" t="s">
        <v>106</v>
      </c>
      <c r="CA21" s="71" t="s">
        <v>428</v>
      </c>
      <c r="CB21" s="71" t="s">
        <v>107</v>
      </c>
      <c r="CC21" s="71" t="s">
        <v>429</v>
      </c>
      <c r="CD21" s="71" t="s">
        <v>106</v>
      </c>
      <c r="CF21" s="71" t="s">
        <v>106</v>
      </c>
      <c r="CG21" s="71" t="s">
        <v>130</v>
      </c>
      <c r="CH21" s="71" t="s">
        <v>106</v>
      </c>
      <c r="CI21" s="71" t="s">
        <v>430</v>
      </c>
      <c r="CJ21" s="71" t="s">
        <v>106</v>
      </c>
      <c r="CK21" s="71" t="s">
        <v>130</v>
      </c>
      <c r="CL21" s="71" t="s">
        <v>106</v>
      </c>
      <c r="CM21" s="71" t="s">
        <v>431</v>
      </c>
      <c r="CN21" s="71" t="s">
        <v>106</v>
      </c>
      <c r="CO21" s="71" t="s">
        <v>130</v>
      </c>
      <c r="CP21" s="71" t="s">
        <v>107</v>
      </c>
      <c r="CQ21" s="71" t="s">
        <v>432</v>
      </c>
      <c r="CR21" s="71" t="s">
        <v>106</v>
      </c>
      <c r="CS21" s="71" t="s">
        <v>433</v>
      </c>
      <c r="CT21" s="71" t="s">
        <v>107</v>
      </c>
      <c r="CU21" s="71" t="s">
        <v>434</v>
      </c>
      <c r="CV21" s="71" t="s">
        <v>106</v>
      </c>
      <c r="CW21" s="71" t="s">
        <v>435</v>
      </c>
      <c r="CX21" s="71" t="s">
        <v>436</v>
      </c>
      <c r="CY21" s="71" t="s">
        <v>437</v>
      </c>
      <c r="CZ21" s="71" t="s">
        <v>438</v>
      </c>
      <c r="DA21" s="71" t="s">
        <v>439</v>
      </c>
      <c r="DB21" s="72" t="s">
        <v>440</v>
      </c>
    </row>
    <row r="22" spans="1:106" ht="13.2" x14ac:dyDescent="0.25">
      <c r="A22" s="77">
        <v>45687.360365787041</v>
      </c>
      <c r="B22" s="73" t="s">
        <v>106</v>
      </c>
      <c r="D22" s="73" t="s">
        <v>106</v>
      </c>
      <c r="F22" s="73" t="s">
        <v>106</v>
      </c>
      <c r="H22" s="73" t="s">
        <v>106</v>
      </c>
      <c r="J22" s="73" t="s">
        <v>106</v>
      </c>
      <c r="L22" s="73" t="s">
        <v>106</v>
      </c>
      <c r="N22" s="73" t="s">
        <v>106</v>
      </c>
      <c r="P22" s="73" t="s">
        <v>107</v>
      </c>
      <c r="Q22" s="73" t="s">
        <v>441</v>
      </c>
      <c r="R22" s="73" t="s">
        <v>106</v>
      </c>
      <c r="T22" s="73" t="s">
        <v>106</v>
      </c>
      <c r="V22" s="73" t="s">
        <v>106</v>
      </c>
      <c r="X22" s="73" t="s">
        <v>107</v>
      </c>
      <c r="Y22" s="73" t="s">
        <v>442</v>
      </c>
      <c r="Z22" s="73" t="s">
        <v>106</v>
      </c>
      <c r="AB22" s="73" t="s">
        <v>106</v>
      </c>
      <c r="AC22" s="73" t="s">
        <v>443</v>
      </c>
      <c r="AD22" s="73" t="s">
        <v>108</v>
      </c>
      <c r="AF22" s="73" t="s">
        <v>106</v>
      </c>
      <c r="AH22" s="73" t="s">
        <v>106</v>
      </c>
      <c r="AJ22" s="73" t="s">
        <v>106</v>
      </c>
      <c r="AL22" s="73" t="s">
        <v>106</v>
      </c>
      <c r="AN22" s="73" t="s">
        <v>106</v>
      </c>
      <c r="AP22" s="73" t="s">
        <v>106</v>
      </c>
      <c r="AR22" s="73" t="s">
        <v>106</v>
      </c>
      <c r="AT22" s="73" t="s">
        <v>106</v>
      </c>
      <c r="AV22" s="73" t="s">
        <v>106</v>
      </c>
      <c r="AX22" s="73" t="s">
        <v>106</v>
      </c>
      <c r="AZ22" s="73" t="s">
        <v>106</v>
      </c>
      <c r="BB22" s="73" t="s">
        <v>106</v>
      </c>
      <c r="BD22" s="73" t="s">
        <v>107</v>
      </c>
      <c r="BE22" s="73" t="s">
        <v>444</v>
      </c>
      <c r="BF22" s="73" t="s">
        <v>107</v>
      </c>
      <c r="BH22" s="73" t="s">
        <v>106</v>
      </c>
      <c r="BJ22" s="73" t="s">
        <v>106</v>
      </c>
      <c r="BL22" s="73" t="s">
        <v>106</v>
      </c>
      <c r="BN22" s="73" t="s">
        <v>106</v>
      </c>
      <c r="BP22" s="73" t="s">
        <v>106</v>
      </c>
      <c r="BR22" s="73" t="s">
        <v>106</v>
      </c>
      <c r="BT22" s="73" t="s">
        <v>109</v>
      </c>
      <c r="BV22" s="73" t="s">
        <v>106</v>
      </c>
      <c r="BX22" s="73" t="s">
        <v>106</v>
      </c>
      <c r="BZ22" s="73" t="s">
        <v>106</v>
      </c>
      <c r="CB22" s="73" t="s">
        <v>107</v>
      </c>
      <c r="CD22" s="73" t="s">
        <v>106</v>
      </c>
      <c r="CF22" s="73" t="s">
        <v>106</v>
      </c>
      <c r="CH22" s="73" t="s">
        <v>106</v>
      </c>
      <c r="CJ22" s="73" t="s">
        <v>106</v>
      </c>
      <c r="CL22" s="73" t="s">
        <v>106</v>
      </c>
      <c r="CN22" s="73" t="s">
        <v>106</v>
      </c>
      <c r="CP22" s="73" t="s">
        <v>107</v>
      </c>
      <c r="CR22" s="73" t="s">
        <v>108</v>
      </c>
      <c r="CT22" s="73" t="s">
        <v>106</v>
      </c>
      <c r="CV22" s="73" t="s">
        <v>106</v>
      </c>
      <c r="CW22" s="73" t="s">
        <v>445</v>
      </c>
      <c r="CX22" s="73" t="s">
        <v>446</v>
      </c>
      <c r="CY22" s="73" t="s">
        <v>447</v>
      </c>
      <c r="CZ22" s="73" t="s">
        <v>448</v>
      </c>
      <c r="DA22" s="73" t="s">
        <v>449</v>
      </c>
      <c r="DB22" s="74" t="s">
        <v>450</v>
      </c>
    </row>
    <row r="23" spans="1:106" ht="13.2" x14ac:dyDescent="0.25">
      <c r="A23" s="78">
        <v>45687.360888356481</v>
      </c>
      <c r="B23" s="71" t="s">
        <v>106</v>
      </c>
      <c r="D23" s="71" t="s">
        <v>106</v>
      </c>
      <c r="F23" s="71" t="s">
        <v>106</v>
      </c>
      <c r="H23" s="71" t="s">
        <v>106</v>
      </c>
      <c r="J23" s="71" t="s">
        <v>106</v>
      </c>
      <c r="L23" s="71" t="s">
        <v>106</v>
      </c>
      <c r="N23" s="71" t="s">
        <v>106</v>
      </c>
      <c r="P23" s="71" t="s">
        <v>107</v>
      </c>
      <c r="Q23" s="71" t="s">
        <v>451</v>
      </c>
      <c r="R23" s="71" t="s">
        <v>106</v>
      </c>
      <c r="T23" s="71" t="s">
        <v>106</v>
      </c>
      <c r="V23" s="71" t="s">
        <v>108</v>
      </c>
      <c r="X23" s="71" t="s">
        <v>106</v>
      </c>
      <c r="Z23" s="71" t="s">
        <v>106</v>
      </c>
      <c r="AB23" s="71" t="s">
        <v>106</v>
      </c>
      <c r="AD23" s="71" t="s">
        <v>106</v>
      </c>
      <c r="AF23" s="71" t="s">
        <v>106</v>
      </c>
      <c r="AH23" s="71" t="s">
        <v>106</v>
      </c>
      <c r="AJ23" s="71" t="s">
        <v>107</v>
      </c>
      <c r="AK23" s="71" t="s">
        <v>452</v>
      </c>
      <c r="AL23" s="71" t="s">
        <v>107</v>
      </c>
      <c r="AM23" s="71" t="s">
        <v>453</v>
      </c>
      <c r="AN23" s="71" t="s">
        <v>106</v>
      </c>
      <c r="AP23" s="71" t="s">
        <v>109</v>
      </c>
      <c r="AQ23" s="71" t="s">
        <v>454</v>
      </c>
      <c r="AR23" s="71" t="s">
        <v>106</v>
      </c>
      <c r="AT23" s="71" t="s">
        <v>106</v>
      </c>
      <c r="AV23" s="71" t="s">
        <v>106</v>
      </c>
      <c r="AX23" s="71" t="s">
        <v>106</v>
      </c>
      <c r="AZ23" s="71" t="s">
        <v>106</v>
      </c>
      <c r="BB23" s="71" t="s">
        <v>106</v>
      </c>
      <c r="BD23" s="71" t="s">
        <v>106</v>
      </c>
      <c r="BF23" s="71" t="s">
        <v>106</v>
      </c>
      <c r="BH23" s="71" t="s">
        <v>106</v>
      </c>
      <c r="BJ23" s="71" t="s">
        <v>106</v>
      </c>
      <c r="BL23" s="71" t="s">
        <v>106</v>
      </c>
      <c r="BN23" s="71" t="s">
        <v>106</v>
      </c>
      <c r="BP23" s="71" t="s">
        <v>106</v>
      </c>
      <c r="BR23" s="71" t="s">
        <v>106</v>
      </c>
      <c r="BT23" s="71" t="s">
        <v>109</v>
      </c>
      <c r="BV23" s="71" t="s">
        <v>106</v>
      </c>
      <c r="BX23" s="71" t="s">
        <v>106</v>
      </c>
      <c r="BZ23" s="71" t="s">
        <v>109</v>
      </c>
      <c r="CA23" s="71" t="s">
        <v>455</v>
      </c>
      <c r="CB23" s="71" t="s">
        <v>106</v>
      </c>
      <c r="CC23" s="71" t="s">
        <v>456</v>
      </c>
      <c r="CD23" s="71" t="s">
        <v>107</v>
      </c>
      <c r="CE23" s="71" t="s">
        <v>457</v>
      </c>
      <c r="CF23" s="71" t="s">
        <v>106</v>
      </c>
      <c r="CH23" s="71" t="s">
        <v>106</v>
      </c>
      <c r="CJ23" s="71" t="s">
        <v>106</v>
      </c>
      <c r="CL23" s="71" t="s">
        <v>106</v>
      </c>
      <c r="CN23" s="71" t="s">
        <v>106</v>
      </c>
      <c r="CP23" s="71" t="s">
        <v>106</v>
      </c>
      <c r="CQ23" s="71" t="s">
        <v>458</v>
      </c>
      <c r="CR23" s="71" t="s">
        <v>106</v>
      </c>
      <c r="CT23" s="71" t="s">
        <v>106</v>
      </c>
      <c r="CV23" s="71" t="s">
        <v>107</v>
      </c>
      <c r="CW23" s="71" t="s">
        <v>459</v>
      </c>
      <c r="CX23" s="71" t="s">
        <v>460</v>
      </c>
      <c r="CY23" s="71" t="s">
        <v>461</v>
      </c>
      <c r="CZ23" s="71" t="s">
        <v>462</v>
      </c>
      <c r="DA23" s="71" t="s">
        <v>463</v>
      </c>
      <c r="DB23" s="72" t="s">
        <v>464</v>
      </c>
    </row>
    <row r="24" spans="1:106" ht="13.2" x14ac:dyDescent="0.25">
      <c r="A24" s="77">
        <v>45687.360955011573</v>
      </c>
      <c r="B24" s="73" t="s">
        <v>106</v>
      </c>
      <c r="D24" s="73" t="s">
        <v>106</v>
      </c>
      <c r="F24" s="73" t="s">
        <v>106</v>
      </c>
      <c r="H24" s="73" t="s">
        <v>106</v>
      </c>
      <c r="J24" s="73" t="s">
        <v>107</v>
      </c>
      <c r="K24" s="73" t="s">
        <v>465</v>
      </c>
      <c r="L24" s="73" t="s">
        <v>106</v>
      </c>
      <c r="N24" s="73" t="s">
        <v>106</v>
      </c>
      <c r="P24" s="73" t="s">
        <v>106</v>
      </c>
      <c r="R24" s="73" t="s">
        <v>106</v>
      </c>
      <c r="T24" s="73" t="s">
        <v>106</v>
      </c>
      <c r="V24" s="73" t="s">
        <v>106</v>
      </c>
      <c r="X24" s="73" t="s">
        <v>106</v>
      </c>
      <c r="Z24" s="73" t="s">
        <v>106</v>
      </c>
      <c r="AB24" s="73" t="s">
        <v>106</v>
      </c>
      <c r="AD24" s="73" t="s">
        <v>106</v>
      </c>
      <c r="AF24" s="73" t="s">
        <v>106</v>
      </c>
      <c r="AH24" s="73" t="s">
        <v>106</v>
      </c>
      <c r="AJ24" s="73" t="s">
        <v>106</v>
      </c>
      <c r="AL24" s="73" t="s">
        <v>106</v>
      </c>
      <c r="AN24" s="73" t="s">
        <v>106</v>
      </c>
      <c r="AP24" s="73" t="s">
        <v>106</v>
      </c>
      <c r="AR24" s="73" t="s">
        <v>106</v>
      </c>
      <c r="AT24" s="73" t="s">
        <v>106</v>
      </c>
      <c r="AV24" s="73" t="s">
        <v>106</v>
      </c>
      <c r="AX24" s="73" t="s">
        <v>106</v>
      </c>
      <c r="AZ24" s="73" t="s">
        <v>106</v>
      </c>
      <c r="BB24" s="73" t="s">
        <v>106</v>
      </c>
      <c r="BD24" s="73" t="s">
        <v>106</v>
      </c>
      <c r="BF24" s="73" t="s">
        <v>106</v>
      </c>
      <c r="BH24" s="73" t="s">
        <v>106</v>
      </c>
      <c r="BJ24" s="73" t="s">
        <v>106</v>
      </c>
      <c r="BL24" s="73" t="s">
        <v>106</v>
      </c>
      <c r="BN24" s="73" t="s">
        <v>106</v>
      </c>
      <c r="BP24" s="73" t="s">
        <v>106</v>
      </c>
      <c r="BR24" s="73" t="s">
        <v>106</v>
      </c>
      <c r="BT24" s="73" t="s">
        <v>107</v>
      </c>
      <c r="BV24" s="73" t="s">
        <v>106</v>
      </c>
      <c r="BX24" s="73" t="s">
        <v>106</v>
      </c>
      <c r="BZ24" s="73" t="s">
        <v>106</v>
      </c>
      <c r="CB24" s="73" t="s">
        <v>107</v>
      </c>
      <c r="CD24" s="73" t="s">
        <v>106</v>
      </c>
      <c r="CF24" s="73" t="s">
        <v>106</v>
      </c>
      <c r="CH24" s="73" t="s">
        <v>106</v>
      </c>
      <c r="CJ24" s="73" t="s">
        <v>106</v>
      </c>
      <c r="CL24" s="73" t="s">
        <v>106</v>
      </c>
      <c r="CN24" s="73" t="s">
        <v>107</v>
      </c>
      <c r="CP24" s="73" t="s">
        <v>107</v>
      </c>
      <c r="CR24" s="73" t="s">
        <v>106</v>
      </c>
      <c r="CT24" s="73" t="s">
        <v>106</v>
      </c>
      <c r="CV24" s="73" t="s">
        <v>106</v>
      </c>
      <c r="CW24" s="73" t="s">
        <v>466</v>
      </c>
      <c r="CX24" s="73" t="s">
        <v>467</v>
      </c>
      <c r="CY24" s="73" t="s">
        <v>468</v>
      </c>
      <c r="CZ24" s="73" t="s">
        <v>469</v>
      </c>
      <c r="DA24" s="73" t="s">
        <v>470</v>
      </c>
      <c r="DB24" s="74" t="s">
        <v>471</v>
      </c>
    </row>
    <row r="25" spans="1:106" ht="13.2" x14ac:dyDescent="0.25">
      <c r="A25" s="78">
        <v>45687.361107291668</v>
      </c>
      <c r="B25" s="71" t="s">
        <v>106</v>
      </c>
      <c r="D25" s="71" t="s">
        <v>106</v>
      </c>
      <c r="F25" s="71" t="s">
        <v>106</v>
      </c>
      <c r="G25" s="71" t="s">
        <v>472</v>
      </c>
      <c r="H25" s="71" t="s">
        <v>108</v>
      </c>
      <c r="J25" s="71" t="s">
        <v>107</v>
      </c>
      <c r="K25" s="71" t="s">
        <v>473</v>
      </c>
      <c r="L25" s="71" t="s">
        <v>106</v>
      </c>
      <c r="N25" s="71" t="s">
        <v>106</v>
      </c>
      <c r="P25" s="71" t="s">
        <v>107</v>
      </c>
      <c r="Q25" s="71" t="s">
        <v>474</v>
      </c>
      <c r="R25" s="71" t="s">
        <v>106</v>
      </c>
      <c r="S25" s="71" t="s">
        <v>475</v>
      </c>
      <c r="T25" s="71" t="s">
        <v>107</v>
      </c>
      <c r="U25" s="71" t="s">
        <v>476</v>
      </c>
      <c r="V25" s="71" t="s">
        <v>106</v>
      </c>
      <c r="X25" s="71" t="s">
        <v>106</v>
      </c>
      <c r="Z25" s="71" t="s">
        <v>107</v>
      </c>
      <c r="AA25" s="71" t="s">
        <v>477</v>
      </c>
      <c r="AB25" s="71" t="s">
        <v>109</v>
      </c>
      <c r="AC25" s="71" t="s">
        <v>478</v>
      </c>
      <c r="AD25" s="71" t="s">
        <v>106</v>
      </c>
      <c r="AF25" s="71" t="s">
        <v>106</v>
      </c>
      <c r="AH25" s="71" t="s">
        <v>106</v>
      </c>
      <c r="AJ25" s="71" t="s">
        <v>108</v>
      </c>
      <c r="AK25" s="71" t="s">
        <v>479</v>
      </c>
      <c r="AL25" s="71" t="s">
        <v>106</v>
      </c>
      <c r="AN25" s="71" t="s">
        <v>106</v>
      </c>
      <c r="AP25" s="71" t="s">
        <v>106</v>
      </c>
      <c r="AR25" s="71" t="s">
        <v>106</v>
      </c>
      <c r="AT25" s="71" t="s">
        <v>106</v>
      </c>
      <c r="AV25" s="71" t="s">
        <v>106</v>
      </c>
      <c r="AX25" s="71" t="s">
        <v>106</v>
      </c>
      <c r="AZ25" s="71" t="s">
        <v>108</v>
      </c>
      <c r="BB25" s="71" t="s">
        <v>109</v>
      </c>
      <c r="BD25" s="71" t="s">
        <v>106</v>
      </c>
      <c r="BF25" s="71" t="s">
        <v>108</v>
      </c>
      <c r="BH25" s="71" t="s">
        <v>106</v>
      </c>
      <c r="BJ25" s="71" t="s">
        <v>106</v>
      </c>
      <c r="BL25" s="71" t="s">
        <v>107</v>
      </c>
      <c r="BM25" s="71" t="s">
        <v>480</v>
      </c>
      <c r="BN25" s="71" t="s">
        <v>106</v>
      </c>
      <c r="BP25" s="71" t="s">
        <v>108</v>
      </c>
      <c r="BR25" s="71" t="s">
        <v>108</v>
      </c>
      <c r="BT25" s="71" t="s">
        <v>109</v>
      </c>
      <c r="BU25" s="71" t="s">
        <v>481</v>
      </c>
      <c r="BV25" s="71" t="s">
        <v>107</v>
      </c>
      <c r="BW25" s="71" t="s">
        <v>482</v>
      </c>
      <c r="BX25" s="71" t="s">
        <v>108</v>
      </c>
      <c r="BZ25" s="71" t="s">
        <v>108</v>
      </c>
      <c r="CB25" s="71" t="s">
        <v>106</v>
      </c>
      <c r="CC25" s="71" t="s">
        <v>483</v>
      </c>
      <c r="CD25" s="71" t="s">
        <v>108</v>
      </c>
      <c r="CF25" s="71" t="s">
        <v>106</v>
      </c>
      <c r="CH25" s="71" t="s">
        <v>108</v>
      </c>
      <c r="CJ25" s="71" t="s">
        <v>108</v>
      </c>
      <c r="CL25" s="71" t="s">
        <v>106</v>
      </c>
      <c r="CN25" s="71" t="s">
        <v>106</v>
      </c>
      <c r="CP25" s="71" t="s">
        <v>107</v>
      </c>
      <c r="CQ25" s="71" t="s">
        <v>484</v>
      </c>
      <c r="CR25" s="71" t="s">
        <v>107</v>
      </c>
      <c r="CS25" s="71" t="s">
        <v>485</v>
      </c>
      <c r="CT25" s="71" t="s">
        <v>106</v>
      </c>
      <c r="CV25" s="71" t="s">
        <v>106</v>
      </c>
      <c r="CW25" s="71" t="s">
        <v>486</v>
      </c>
      <c r="CX25" s="71" t="s">
        <v>487</v>
      </c>
      <c r="CY25" s="71" t="s">
        <v>488</v>
      </c>
      <c r="CZ25" s="71" t="s">
        <v>489</v>
      </c>
      <c r="DA25" s="71" t="s">
        <v>490</v>
      </c>
      <c r="DB25" s="72" t="s">
        <v>491</v>
      </c>
    </row>
    <row r="26" spans="1:106" ht="13.2" x14ac:dyDescent="0.25">
      <c r="A26" s="77">
        <v>45687.361672210653</v>
      </c>
      <c r="B26" s="73" t="s">
        <v>108</v>
      </c>
      <c r="D26" s="73" t="s">
        <v>106</v>
      </c>
      <c r="F26" s="73" t="s">
        <v>107</v>
      </c>
      <c r="G26" s="73" t="s">
        <v>492</v>
      </c>
      <c r="H26" s="73" t="s">
        <v>106</v>
      </c>
      <c r="J26" s="73" t="s">
        <v>106</v>
      </c>
      <c r="L26" s="73" t="s">
        <v>107</v>
      </c>
      <c r="M26" s="73" t="s">
        <v>493</v>
      </c>
      <c r="N26" s="73" t="s">
        <v>107</v>
      </c>
      <c r="O26" s="73" t="s">
        <v>494</v>
      </c>
      <c r="P26" s="73" t="s">
        <v>107</v>
      </c>
      <c r="Q26" s="73" t="s">
        <v>495</v>
      </c>
      <c r="R26" s="73" t="s">
        <v>108</v>
      </c>
      <c r="T26" s="73" t="s">
        <v>106</v>
      </c>
      <c r="V26" s="73" t="s">
        <v>108</v>
      </c>
      <c r="X26" s="73" t="s">
        <v>106</v>
      </c>
      <c r="Z26" s="73" t="s">
        <v>108</v>
      </c>
      <c r="AB26" s="73" t="s">
        <v>107</v>
      </c>
      <c r="AC26" s="73" t="s">
        <v>496</v>
      </c>
      <c r="AD26" s="73" t="s">
        <v>106</v>
      </c>
      <c r="AF26" s="73" t="s">
        <v>106</v>
      </c>
      <c r="AH26" s="73" t="s">
        <v>108</v>
      </c>
      <c r="AJ26" s="73" t="s">
        <v>106</v>
      </c>
      <c r="AL26" s="73" t="s">
        <v>106</v>
      </c>
      <c r="AN26" s="73" t="s">
        <v>106</v>
      </c>
      <c r="AP26" s="73" t="s">
        <v>107</v>
      </c>
      <c r="AQ26" s="73" t="s">
        <v>497</v>
      </c>
      <c r="AR26" s="73" t="s">
        <v>106</v>
      </c>
      <c r="AT26" s="73" t="s">
        <v>106</v>
      </c>
      <c r="AV26" s="73" t="s">
        <v>107</v>
      </c>
      <c r="AW26" s="73" t="s">
        <v>498</v>
      </c>
      <c r="AX26" s="73" t="s">
        <v>107</v>
      </c>
      <c r="AY26" s="73" t="s">
        <v>499</v>
      </c>
      <c r="AZ26" s="73" t="s">
        <v>108</v>
      </c>
      <c r="BB26" s="73" t="s">
        <v>107</v>
      </c>
      <c r="BC26" s="73" t="s">
        <v>500</v>
      </c>
      <c r="BD26" s="73" t="s">
        <v>106</v>
      </c>
      <c r="BF26" s="73" t="s">
        <v>106</v>
      </c>
      <c r="BH26" s="73" t="s">
        <v>107</v>
      </c>
      <c r="BI26" s="73" t="s">
        <v>501</v>
      </c>
      <c r="BJ26" s="73" t="s">
        <v>106</v>
      </c>
      <c r="BL26" s="73" t="s">
        <v>108</v>
      </c>
      <c r="BN26" s="73" t="s">
        <v>107</v>
      </c>
      <c r="BO26" s="73" t="s">
        <v>502</v>
      </c>
      <c r="BP26" s="73" t="s">
        <v>106</v>
      </c>
      <c r="BR26" s="73" t="s">
        <v>108</v>
      </c>
      <c r="BT26" s="73" t="s">
        <v>109</v>
      </c>
      <c r="BU26" s="73" t="s">
        <v>503</v>
      </c>
      <c r="BV26" s="73" t="s">
        <v>106</v>
      </c>
      <c r="BX26" s="73" t="s">
        <v>106</v>
      </c>
      <c r="BZ26" s="73" t="s">
        <v>107</v>
      </c>
      <c r="CA26" s="73" t="s">
        <v>504</v>
      </c>
      <c r="CB26" s="73" t="s">
        <v>106</v>
      </c>
      <c r="CD26" s="73" t="s">
        <v>106</v>
      </c>
      <c r="CF26" s="73" t="s">
        <v>106</v>
      </c>
      <c r="CH26" s="73" t="s">
        <v>106</v>
      </c>
      <c r="CJ26" s="73" t="s">
        <v>107</v>
      </c>
      <c r="CK26" s="73" t="s">
        <v>505</v>
      </c>
      <c r="CL26" s="73" t="s">
        <v>106</v>
      </c>
      <c r="CN26" s="73" t="s">
        <v>108</v>
      </c>
      <c r="CO26" s="73" t="s">
        <v>506</v>
      </c>
      <c r="CP26" s="73" t="s">
        <v>106</v>
      </c>
      <c r="CR26" s="73" t="s">
        <v>106</v>
      </c>
      <c r="CT26" s="73" t="s">
        <v>107</v>
      </c>
      <c r="CU26" s="73" t="s">
        <v>507</v>
      </c>
      <c r="CV26" s="73" t="s">
        <v>106</v>
      </c>
      <c r="CW26" s="73" t="s">
        <v>106</v>
      </c>
      <c r="CX26" s="73" t="s">
        <v>508</v>
      </c>
      <c r="CY26" s="73" t="s">
        <v>509</v>
      </c>
      <c r="CZ26" s="73" t="s">
        <v>510</v>
      </c>
      <c r="DA26" s="73" t="s">
        <v>511</v>
      </c>
      <c r="DB26" s="74" t="s">
        <v>512</v>
      </c>
    </row>
    <row r="27" spans="1:106" ht="13.2" x14ac:dyDescent="0.25">
      <c r="A27" s="78">
        <v>45687.363384467593</v>
      </c>
      <c r="B27" s="71" t="s">
        <v>107</v>
      </c>
      <c r="C27" s="71" t="s">
        <v>513</v>
      </c>
      <c r="D27" s="71" t="s">
        <v>107</v>
      </c>
      <c r="E27" s="71" t="s">
        <v>514</v>
      </c>
      <c r="F27" s="71" t="s">
        <v>108</v>
      </c>
      <c r="H27" s="71" t="s">
        <v>108</v>
      </c>
      <c r="J27" s="71" t="s">
        <v>108</v>
      </c>
      <c r="K27" s="71" t="s">
        <v>515</v>
      </c>
      <c r="L27" s="71" t="s">
        <v>108</v>
      </c>
      <c r="N27" s="71" t="s">
        <v>107</v>
      </c>
      <c r="P27" s="71" t="s">
        <v>107</v>
      </c>
      <c r="R27" s="71" t="s">
        <v>106</v>
      </c>
      <c r="T27" s="71" t="s">
        <v>106</v>
      </c>
      <c r="V27" s="71" t="s">
        <v>108</v>
      </c>
      <c r="X27" s="71" t="s">
        <v>107</v>
      </c>
      <c r="Z27" s="71" t="s">
        <v>106</v>
      </c>
      <c r="AB27" s="71" t="s">
        <v>107</v>
      </c>
      <c r="AD27" s="71" t="s">
        <v>108</v>
      </c>
      <c r="AF27" s="71" t="s">
        <v>107</v>
      </c>
      <c r="AH27" s="71" t="s">
        <v>106</v>
      </c>
      <c r="AJ27" s="71" t="s">
        <v>106</v>
      </c>
      <c r="AL27" s="71" t="s">
        <v>106</v>
      </c>
      <c r="AN27" s="71" t="s">
        <v>106</v>
      </c>
      <c r="AP27" s="71" t="s">
        <v>106</v>
      </c>
      <c r="AR27" s="71" t="s">
        <v>106</v>
      </c>
      <c r="AT27" s="71" t="s">
        <v>106</v>
      </c>
      <c r="AV27" s="71" t="s">
        <v>106</v>
      </c>
      <c r="AX27" s="71" t="s">
        <v>106</v>
      </c>
      <c r="AZ27" s="71" t="s">
        <v>106</v>
      </c>
      <c r="BB27" s="71" t="s">
        <v>108</v>
      </c>
      <c r="BD27" s="71" t="s">
        <v>108</v>
      </c>
      <c r="BF27" s="71" t="s">
        <v>108</v>
      </c>
      <c r="BH27" s="71" t="s">
        <v>107</v>
      </c>
      <c r="BJ27" s="71" t="s">
        <v>108</v>
      </c>
      <c r="BL27" s="71" t="s">
        <v>106</v>
      </c>
      <c r="BN27" s="71" t="s">
        <v>106</v>
      </c>
      <c r="BP27" s="71" t="s">
        <v>106</v>
      </c>
      <c r="BR27" s="71" t="s">
        <v>106</v>
      </c>
      <c r="BT27" s="71" t="s">
        <v>107</v>
      </c>
      <c r="BV27" s="71" t="s">
        <v>109</v>
      </c>
      <c r="BX27" s="71" t="s">
        <v>108</v>
      </c>
      <c r="BZ27" s="71" t="s">
        <v>106</v>
      </c>
      <c r="CB27" s="71" t="s">
        <v>108</v>
      </c>
      <c r="CD27" s="71" t="s">
        <v>107</v>
      </c>
      <c r="CF27" s="71" t="s">
        <v>108</v>
      </c>
      <c r="CH27" s="71" t="s">
        <v>108</v>
      </c>
      <c r="CJ27" s="71" t="s">
        <v>108</v>
      </c>
      <c r="CL27" s="71" t="s">
        <v>108</v>
      </c>
      <c r="CN27" s="71" t="s">
        <v>106</v>
      </c>
      <c r="CP27" s="71" t="s">
        <v>109</v>
      </c>
      <c r="CR27" s="71" t="s">
        <v>106</v>
      </c>
      <c r="CT27" s="71" t="s">
        <v>107</v>
      </c>
      <c r="CV27" s="71" t="s">
        <v>106</v>
      </c>
      <c r="CW27" s="71" t="s">
        <v>516</v>
      </c>
      <c r="CX27" s="71" t="s">
        <v>517</v>
      </c>
      <c r="CY27" s="71" t="s">
        <v>518</v>
      </c>
      <c r="CZ27" s="71" t="s">
        <v>519</v>
      </c>
      <c r="DA27" s="71" t="s">
        <v>520</v>
      </c>
      <c r="DB27" s="72" t="s">
        <v>521</v>
      </c>
    </row>
    <row r="28" spans="1:106" ht="13.2" x14ac:dyDescent="0.25">
      <c r="A28" s="77">
        <v>45687.363416793982</v>
      </c>
      <c r="B28" s="73" t="s">
        <v>108</v>
      </c>
      <c r="C28" s="73" t="s">
        <v>522</v>
      </c>
      <c r="D28" s="73" t="s">
        <v>108</v>
      </c>
      <c r="E28" s="73" t="s">
        <v>128</v>
      </c>
      <c r="F28" s="73" t="s">
        <v>106</v>
      </c>
      <c r="G28" s="73" t="s">
        <v>128</v>
      </c>
      <c r="H28" s="73" t="s">
        <v>108</v>
      </c>
      <c r="I28" s="73" t="s">
        <v>128</v>
      </c>
      <c r="J28" s="73" t="s">
        <v>106</v>
      </c>
      <c r="K28" s="73" t="s">
        <v>128</v>
      </c>
      <c r="L28" s="73" t="s">
        <v>108</v>
      </c>
      <c r="M28" s="73" t="s">
        <v>128</v>
      </c>
      <c r="N28" s="73" t="s">
        <v>106</v>
      </c>
      <c r="O28" s="73" t="s">
        <v>128</v>
      </c>
      <c r="P28" s="73" t="s">
        <v>106</v>
      </c>
      <c r="Q28" s="73" t="s">
        <v>128</v>
      </c>
      <c r="R28" s="73" t="s">
        <v>108</v>
      </c>
      <c r="S28" s="73" t="s">
        <v>128</v>
      </c>
      <c r="T28" s="73" t="s">
        <v>108</v>
      </c>
      <c r="U28" s="73" t="s">
        <v>128</v>
      </c>
      <c r="V28" s="73" t="s">
        <v>108</v>
      </c>
      <c r="W28" s="73" t="s">
        <v>128</v>
      </c>
      <c r="X28" s="73" t="s">
        <v>106</v>
      </c>
      <c r="Y28" s="73" t="s">
        <v>128</v>
      </c>
      <c r="Z28" s="73" t="s">
        <v>106</v>
      </c>
      <c r="AA28" s="73" t="s">
        <v>128</v>
      </c>
      <c r="AB28" s="73" t="s">
        <v>107</v>
      </c>
      <c r="AC28" s="73" t="s">
        <v>128</v>
      </c>
      <c r="AD28" s="73" t="s">
        <v>108</v>
      </c>
      <c r="AE28" s="73" t="s">
        <v>128</v>
      </c>
      <c r="AF28" s="73" t="s">
        <v>108</v>
      </c>
      <c r="AG28" s="73" t="s">
        <v>128</v>
      </c>
      <c r="AH28" s="73" t="s">
        <v>108</v>
      </c>
      <c r="AI28" s="73" t="s">
        <v>128</v>
      </c>
      <c r="AJ28" s="73" t="s">
        <v>108</v>
      </c>
      <c r="AK28" s="73" t="s">
        <v>128</v>
      </c>
      <c r="AL28" s="73" t="s">
        <v>108</v>
      </c>
      <c r="AM28" s="73" t="s">
        <v>128</v>
      </c>
      <c r="AN28" s="73" t="s">
        <v>108</v>
      </c>
      <c r="AO28" s="73" t="s">
        <v>128</v>
      </c>
      <c r="AP28" s="73" t="s">
        <v>108</v>
      </c>
      <c r="AQ28" s="73" t="s">
        <v>128</v>
      </c>
      <c r="AR28" s="73" t="s">
        <v>108</v>
      </c>
      <c r="AS28" s="73" t="s">
        <v>128</v>
      </c>
      <c r="AT28" s="73" t="s">
        <v>108</v>
      </c>
      <c r="AU28" s="73" t="s">
        <v>128</v>
      </c>
      <c r="AV28" s="73" t="s">
        <v>108</v>
      </c>
      <c r="AW28" s="73" t="s">
        <v>128</v>
      </c>
      <c r="AX28" s="73" t="s">
        <v>108</v>
      </c>
      <c r="AY28" s="73" t="s">
        <v>128</v>
      </c>
      <c r="AZ28" s="73" t="s">
        <v>108</v>
      </c>
      <c r="BA28" s="73" t="s">
        <v>128</v>
      </c>
      <c r="BB28" s="73" t="s">
        <v>108</v>
      </c>
      <c r="BC28" s="73" t="s">
        <v>128</v>
      </c>
      <c r="BD28" s="73" t="s">
        <v>108</v>
      </c>
      <c r="BE28" s="73" t="s">
        <v>128</v>
      </c>
      <c r="BF28" s="73" t="s">
        <v>106</v>
      </c>
      <c r="BG28" s="73" t="s">
        <v>128</v>
      </c>
      <c r="BH28" s="73" t="s">
        <v>108</v>
      </c>
      <c r="BI28" s="73" t="s">
        <v>128</v>
      </c>
      <c r="BJ28" s="73" t="s">
        <v>108</v>
      </c>
      <c r="BK28" s="73" t="s">
        <v>128</v>
      </c>
      <c r="BL28" s="73" t="s">
        <v>108</v>
      </c>
      <c r="BM28" s="73" t="s">
        <v>128</v>
      </c>
      <c r="BN28" s="73" t="s">
        <v>108</v>
      </c>
      <c r="BO28" s="73" t="s">
        <v>128</v>
      </c>
      <c r="BP28" s="73" t="s">
        <v>108</v>
      </c>
      <c r="BQ28" s="73" t="s">
        <v>128</v>
      </c>
      <c r="BR28" s="73" t="s">
        <v>108</v>
      </c>
      <c r="BS28" s="73" t="s">
        <v>128</v>
      </c>
      <c r="BT28" s="73" t="s">
        <v>107</v>
      </c>
      <c r="BU28" s="73" t="s">
        <v>128</v>
      </c>
      <c r="BV28" s="73" t="s">
        <v>106</v>
      </c>
      <c r="BW28" s="73" t="s">
        <v>128</v>
      </c>
      <c r="BX28" s="73" t="s">
        <v>106</v>
      </c>
      <c r="BY28" s="73" t="s">
        <v>128</v>
      </c>
      <c r="BZ28" s="73" t="s">
        <v>106</v>
      </c>
      <c r="CA28" s="73" t="s">
        <v>128</v>
      </c>
      <c r="CB28" s="73" t="s">
        <v>107</v>
      </c>
      <c r="CC28" s="73" t="s">
        <v>128</v>
      </c>
      <c r="CD28" s="73" t="s">
        <v>108</v>
      </c>
      <c r="CE28" s="73" t="s">
        <v>128</v>
      </c>
      <c r="CF28" s="73" t="s">
        <v>108</v>
      </c>
      <c r="CG28" s="73" t="s">
        <v>128</v>
      </c>
      <c r="CH28" s="73" t="s">
        <v>106</v>
      </c>
      <c r="CI28" s="73" t="s">
        <v>128</v>
      </c>
      <c r="CJ28" s="73" t="s">
        <v>108</v>
      </c>
      <c r="CK28" s="73" t="s">
        <v>128</v>
      </c>
      <c r="CL28" s="73" t="s">
        <v>108</v>
      </c>
      <c r="CM28" s="73" t="s">
        <v>128</v>
      </c>
      <c r="CN28" s="73" t="s">
        <v>107</v>
      </c>
      <c r="CO28" s="73" t="s">
        <v>128</v>
      </c>
      <c r="CP28" s="73" t="s">
        <v>107</v>
      </c>
      <c r="CQ28" s="73" t="s">
        <v>128</v>
      </c>
      <c r="CR28" s="73" t="s">
        <v>108</v>
      </c>
      <c r="CS28" s="73" t="s">
        <v>128</v>
      </c>
      <c r="CT28" s="73" t="s">
        <v>106</v>
      </c>
      <c r="CU28" s="73" t="s">
        <v>128</v>
      </c>
      <c r="CV28" s="73" t="s">
        <v>108</v>
      </c>
      <c r="CW28" s="73" t="s">
        <v>128</v>
      </c>
      <c r="CX28" s="73" t="s">
        <v>523</v>
      </c>
      <c r="CY28" s="73" t="s">
        <v>128</v>
      </c>
      <c r="CZ28" s="73" t="s">
        <v>524</v>
      </c>
      <c r="DA28" s="73" t="s">
        <v>525</v>
      </c>
      <c r="DB28" s="74" t="s">
        <v>128</v>
      </c>
    </row>
    <row r="29" spans="1:106" ht="13.2" x14ac:dyDescent="0.25">
      <c r="A29" s="78">
        <v>45687.36637127315</v>
      </c>
      <c r="B29" s="71" t="s">
        <v>108</v>
      </c>
      <c r="C29" s="71" t="s">
        <v>526</v>
      </c>
      <c r="D29" s="71" t="s">
        <v>106</v>
      </c>
      <c r="E29" s="71" t="s">
        <v>526</v>
      </c>
      <c r="F29" s="71" t="s">
        <v>107</v>
      </c>
      <c r="G29" s="71" t="s">
        <v>527</v>
      </c>
      <c r="H29" s="71" t="s">
        <v>107</v>
      </c>
      <c r="I29" s="71" t="s">
        <v>528</v>
      </c>
      <c r="J29" s="71" t="s">
        <v>106</v>
      </c>
      <c r="K29" s="71" t="s">
        <v>529</v>
      </c>
      <c r="L29" s="71" t="s">
        <v>106</v>
      </c>
      <c r="N29" s="71" t="s">
        <v>108</v>
      </c>
      <c r="O29" s="71" t="s">
        <v>530</v>
      </c>
      <c r="P29" s="71" t="s">
        <v>108</v>
      </c>
      <c r="Q29" s="71" t="s">
        <v>531</v>
      </c>
      <c r="R29" s="71" t="s">
        <v>108</v>
      </c>
      <c r="T29" s="71" t="s">
        <v>108</v>
      </c>
      <c r="U29" s="71" t="s">
        <v>532</v>
      </c>
      <c r="V29" s="71" t="s">
        <v>106</v>
      </c>
      <c r="X29" s="71" t="s">
        <v>108</v>
      </c>
      <c r="Y29" s="71" t="s">
        <v>533</v>
      </c>
      <c r="Z29" s="71" t="s">
        <v>107</v>
      </c>
      <c r="AA29" s="71" t="s">
        <v>534</v>
      </c>
      <c r="AB29" s="71" t="s">
        <v>109</v>
      </c>
      <c r="AC29" s="71" t="s">
        <v>535</v>
      </c>
      <c r="AD29" s="71" t="s">
        <v>106</v>
      </c>
      <c r="AF29" s="71" t="s">
        <v>108</v>
      </c>
      <c r="AG29" s="71" t="s">
        <v>536</v>
      </c>
      <c r="AH29" s="71" t="s">
        <v>106</v>
      </c>
      <c r="AJ29" s="71" t="s">
        <v>106</v>
      </c>
      <c r="AL29" s="71" t="s">
        <v>108</v>
      </c>
      <c r="AN29" s="71" t="s">
        <v>108</v>
      </c>
      <c r="AO29" s="71" t="s">
        <v>537</v>
      </c>
      <c r="AP29" s="71" t="s">
        <v>107</v>
      </c>
      <c r="AQ29" s="71" t="s">
        <v>538</v>
      </c>
      <c r="AR29" s="71" t="s">
        <v>108</v>
      </c>
      <c r="AS29" s="71" t="s">
        <v>539</v>
      </c>
      <c r="AT29" s="71" t="s">
        <v>107</v>
      </c>
      <c r="AU29" s="71" t="s">
        <v>540</v>
      </c>
      <c r="AV29" s="71" t="s">
        <v>108</v>
      </c>
      <c r="AX29" s="71" t="s">
        <v>108</v>
      </c>
      <c r="AZ29" s="71" t="s">
        <v>106</v>
      </c>
      <c r="BB29" s="71" t="s">
        <v>108</v>
      </c>
      <c r="BD29" s="71" t="s">
        <v>107</v>
      </c>
      <c r="BE29" s="71" t="s">
        <v>541</v>
      </c>
      <c r="BF29" s="71" t="s">
        <v>107</v>
      </c>
      <c r="BG29" s="71" t="s">
        <v>542</v>
      </c>
      <c r="BH29" s="71" t="s">
        <v>107</v>
      </c>
      <c r="BI29" s="71" t="s">
        <v>543</v>
      </c>
      <c r="BJ29" s="71" t="s">
        <v>107</v>
      </c>
      <c r="BK29" s="71" t="s">
        <v>544</v>
      </c>
      <c r="BL29" s="71" t="s">
        <v>108</v>
      </c>
      <c r="BM29" s="71" t="s">
        <v>545</v>
      </c>
      <c r="BN29" s="71" t="s">
        <v>107</v>
      </c>
      <c r="BO29" s="71" t="s">
        <v>546</v>
      </c>
      <c r="BP29" s="71" t="s">
        <v>108</v>
      </c>
      <c r="BQ29" s="71" t="s">
        <v>547</v>
      </c>
      <c r="BR29" s="71" t="s">
        <v>106</v>
      </c>
      <c r="BT29" s="71" t="s">
        <v>108</v>
      </c>
      <c r="BU29" s="71" t="s">
        <v>548</v>
      </c>
      <c r="BV29" s="71" t="s">
        <v>107</v>
      </c>
      <c r="BW29" s="71" t="s">
        <v>549</v>
      </c>
      <c r="BX29" s="71" t="s">
        <v>107</v>
      </c>
      <c r="BY29" s="71" t="s">
        <v>550</v>
      </c>
      <c r="BZ29" s="71" t="s">
        <v>106</v>
      </c>
      <c r="CB29" s="71" t="s">
        <v>107</v>
      </c>
      <c r="CC29" s="71" t="s">
        <v>551</v>
      </c>
      <c r="CD29" s="71" t="s">
        <v>106</v>
      </c>
      <c r="CF29" s="71" t="s">
        <v>106</v>
      </c>
      <c r="CH29" s="71" t="s">
        <v>108</v>
      </c>
      <c r="CJ29" s="71" t="s">
        <v>108</v>
      </c>
      <c r="CL29" s="71" t="s">
        <v>106</v>
      </c>
      <c r="CN29" s="71" t="s">
        <v>106</v>
      </c>
      <c r="CO29" s="71" t="s">
        <v>552</v>
      </c>
      <c r="CP29" s="71" t="s">
        <v>108</v>
      </c>
      <c r="CQ29" s="71" t="s">
        <v>553</v>
      </c>
      <c r="CR29" s="71" t="s">
        <v>108</v>
      </c>
      <c r="CS29" s="71" t="s">
        <v>554</v>
      </c>
      <c r="CT29" s="71" t="s">
        <v>108</v>
      </c>
      <c r="CU29" s="71" t="s">
        <v>555</v>
      </c>
      <c r="CV29" s="71" t="s">
        <v>106</v>
      </c>
      <c r="CW29" s="71" t="s">
        <v>526</v>
      </c>
      <c r="CX29" s="71" t="s">
        <v>556</v>
      </c>
      <c r="CY29" s="71" t="s">
        <v>526</v>
      </c>
      <c r="CZ29" s="71" t="s">
        <v>557</v>
      </c>
      <c r="DA29" s="71" t="s">
        <v>558</v>
      </c>
      <c r="DB29" s="72" t="s">
        <v>559</v>
      </c>
    </row>
    <row r="30" spans="1:106" ht="13.2" x14ac:dyDescent="0.25">
      <c r="A30" s="77">
        <v>45687.368221215278</v>
      </c>
      <c r="B30" s="73" t="s">
        <v>108</v>
      </c>
      <c r="D30" s="73" t="s">
        <v>106</v>
      </c>
      <c r="F30" s="73" t="s">
        <v>106</v>
      </c>
      <c r="H30" s="73" t="s">
        <v>106</v>
      </c>
      <c r="J30" s="73" t="s">
        <v>106</v>
      </c>
      <c r="L30" s="73" t="s">
        <v>106</v>
      </c>
      <c r="N30" s="73" t="s">
        <v>106</v>
      </c>
      <c r="P30" s="73" t="s">
        <v>107</v>
      </c>
      <c r="Q30" s="73" t="s">
        <v>560</v>
      </c>
      <c r="R30" s="73" t="s">
        <v>106</v>
      </c>
      <c r="T30" s="73" t="s">
        <v>108</v>
      </c>
      <c r="V30" s="73" t="s">
        <v>106</v>
      </c>
      <c r="X30" s="73" t="s">
        <v>106</v>
      </c>
      <c r="Z30" s="73" t="s">
        <v>106</v>
      </c>
      <c r="AB30" s="73" t="s">
        <v>107</v>
      </c>
      <c r="AC30" s="73" t="s">
        <v>561</v>
      </c>
      <c r="AD30" s="73" t="s">
        <v>106</v>
      </c>
      <c r="AF30" s="73" t="s">
        <v>106</v>
      </c>
      <c r="AH30" s="73" t="s">
        <v>106</v>
      </c>
      <c r="AJ30" s="73" t="s">
        <v>108</v>
      </c>
      <c r="AL30" s="73" t="s">
        <v>108</v>
      </c>
      <c r="AN30" s="73" t="s">
        <v>106</v>
      </c>
      <c r="AP30" s="73" t="s">
        <v>106</v>
      </c>
      <c r="AR30" s="73" t="s">
        <v>108</v>
      </c>
      <c r="AT30" s="73" t="s">
        <v>108</v>
      </c>
      <c r="AV30" s="73" t="s">
        <v>106</v>
      </c>
      <c r="AX30" s="73" t="s">
        <v>106</v>
      </c>
      <c r="AZ30" s="73" t="s">
        <v>106</v>
      </c>
      <c r="BB30" s="73" t="s">
        <v>106</v>
      </c>
      <c r="BD30" s="73" t="s">
        <v>106</v>
      </c>
      <c r="BF30" s="73" t="s">
        <v>106</v>
      </c>
      <c r="BH30" s="73" t="s">
        <v>106</v>
      </c>
      <c r="BJ30" s="73" t="s">
        <v>106</v>
      </c>
      <c r="BL30" s="73" t="s">
        <v>106</v>
      </c>
      <c r="BN30" s="73" t="s">
        <v>106</v>
      </c>
      <c r="BP30" s="73" t="s">
        <v>106</v>
      </c>
      <c r="BR30" s="73" t="s">
        <v>106</v>
      </c>
      <c r="BT30" s="73" t="s">
        <v>109</v>
      </c>
      <c r="BU30" s="73" t="s">
        <v>562</v>
      </c>
      <c r="BV30" s="73" t="s">
        <v>106</v>
      </c>
      <c r="BX30" s="73" t="s">
        <v>106</v>
      </c>
      <c r="BZ30" s="73" t="s">
        <v>106</v>
      </c>
      <c r="CB30" s="73" t="s">
        <v>107</v>
      </c>
      <c r="CC30" s="73" t="s">
        <v>563</v>
      </c>
      <c r="CD30" s="73" t="s">
        <v>106</v>
      </c>
      <c r="CF30" s="73" t="s">
        <v>106</v>
      </c>
      <c r="CH30" s="73" t="s">
        <v>106</v>
      </c>
      <c r="CJ30" s="73" t="s">
        <v>106</v>
      </c>
      <c r="CL30" s="73" t="s">
        <v>106</v>
      </c>
      <c r="CN30" s="73" t="s">
        <v>107</v>
      </c>
      <c r="CO30" s="73" t="s">
        <v>564</v>
      </c>
      <c r="CP30" s="73" t="s">
        <v>107</v>
      </c>
      <c r="CQ30" s="73" t="s">
        <v>565</v>
      </c>
      <c r="CR30" s="73" t="s">
        <v>107</v>
      </c>
      <c r="CS30" s="73" t="s">
        <v>566</v>
      </c>
      <c r="CT30" s="73" t="s">
        <v>106</v>
      </c>
      <c r="CV30" s="73" t="s">
        <v>106</v>
      </c>
      <c r="CW30" s="73" t="s">
        <v>567</v>
      </c>
      <c r="CX30" s="73" t="s">
        <v>508</v>
      </c>
      <c r="CY30" s="73" t="s">
        <v>129</v>
      </c>
      <c r="CZ30" s="73" t="s">
        <v>568</v>
      </c>
      <c r="DA30" s="73" t="s">
        <v>569</v>
      </c>
      <c r="DB30" s="74" t="s">
        <v>129</v>
      </c>
    </row>
    <row r="31" spans="1:106" ht="13.2" x14ac:dyDescent="0.25">
      <c r="A31" s="78">
        <v>45687.371734386572</v>
      </c>
      <c r="B31" s="71" t="s">
        <v>108</v>
      </c>
      <c r="D31" s="71" t="s">
        <v>108</v>
      </c>
      <c r="F31" s="71" t="s">
        <v>108</v>
      </c>
      <c r="H31" s="71" t="s">
        <v>108</v>
      </c>
      <c r="J31" s="71" t="s">
        <v>108</v>
      </c>
      <c r="L31" s="71" t="s">
        <v>108</v>
      </c>
      <c r="N31" s="71" t="s">
        <v>108</v>
      </c>
      <c r="P31" s="71" t="s">
        <v>106</v>
      </c>
      <c r="R31" s="71" t="s">
        <v>108</v>
      </c>
      <c r="T31" s="71" t="s">
        <v>108</v>
      </c>
      <c r="V31" s="71" t="s">
        <v>108</v>
      </c>
      <c r="X31" s="71" t="s">
        <v>108</v>
      </c>
      <c r="Z31" s="71" t="s">
        <v>108</v>
      </c>
      <c r="AB31" s="71" t="s">
        <v>106</v>
      </c>
      <c r="AD31" s="71" t="s">
        <v>106</v>
      </c>
      <c r="AF31" s="71" t="s">
        <v>108</v>
      </c>
      <c r="AH31" s="71" t="s">
        <v>108</v>
      </c>
      <c r="AJ31" s="71" t="s">
        <v>108</v>
      </c>
      <c r="AL31" s="71" t="s">
        <v>108</v>
      </c>
      <c r="AN31" s="71" t="s">
        <v>108</v>
      </c>
      <c r="AP31" s="71" t="s">
        <v>108</v>
      </c>
      <c r="AR31" s="71" t="s">
        <v>108</v>
      </c>
      <c r="AT31" s="71" t="s">
        <v>108</v>
      </c>
      <c r="AV31" s="71" t="s">
        <v>108</v>
      </c>
      <c r="AX31" s="71" t="s">
        <v>108</v>
      </c>
      <c r="AZ31" s="71" t="s">
        <v>108</v>
      </c>
      <c r="BB31" s="71" t="s">
        <v>108</v>
      </c>
      <c r="BD31" s="71" t="s">
        <v>108</v>
      </c>
      <c r="BF31" s="71" t="s">
        <v>108</v>
      </c>
      <c r="BH31" s="71" t="s">
        <v>108</v>
      </c>
      <c r="BJ31" s="71" t="s">
        <v>108</v>
      </c>
      <c r="BL31" s="71" t="s">
        <v>108</v>
      </c>
      <c r="BN31" s="71" t="s">
        <v>108</v>
      </c>
      <c r="BP31" s="71" t="s">
        <v>108</v>
      </c>
      <c r="BR31" s="71" t="s">
        <v>108</v>
      </c>
      <c r="BT31" s="71" t="s">
        <v>109</v>
      </c>
      <c r="BV31" s="71" t="s">
        <v>108</v>
      </c>
      <c r="BX31" s="71" t="s">
        <v>108</v>
      </c>
      <c r="BZ31" s="71" t="s">
        <v>108</v>
      </c>
      <c r="CB31" s="71" t="s">
        <v>107</v>
      </c>
      <c r="CD31" s="71" t="s">
        <v>108</v>
      </c>
      <c r="CF31" s="71" t="s">
        <v>108</v>
      </c>
      <c r="CH31" s="71" t="s">
        <v>108</v>
      </c>
      <c r="CJ31" s="71" t="s">
        <v>108</v>
      </c>
      <c r="CL31" s="71" t="s">
        <v>108</v>
      </c>
      <c r="CN31" s="71" t="s">
        <v>106</v>
      </c>
      <c r="CP31" s="71" t="s">
        <v>106</v>
      </c>
      <c r="CR31" s="71" t="s">
        <v>108</v>
      </c>
      <c r="CT31" s="71" t="s">
        <v>106</v>
      </c>
      <c r="CV31" s="71" t="s">
        <v>108</v>
      </c>
      <c r="CW31" s="71" t="s">
        <v>106</v>
      </c>
      <c r="CX31" s="71" t="s">
        <v>570</v>
      </c>
      <c r="CY31" s="71" t="s">
        <v>571</v>
      </c>
      <c r="CZ31" s="71" t="s">
        <v>572</v>
      </c>
      <c r="DA31" s="71" t="s">
        <v>573</v>
      </c>
      <c r="DB31" s="72" t="s">
        <v>574</v>
      </c>
    </row>
    <row r="32" spans="1:106" ht="13.2" x14ac:dyDescent="0.25">
      <c r="A32" s="77">
        <v>45687.376114479164</v>
      </c>
      <c r="B32" s="73" t="s">
        <v>106</v>
      </c>
      <c r="C32" s="73" t="s">
        <v>151</v>
      </c>
      <c r="D32" s="73" t="s">
        <v>106</v>
      </c>
      <c r="E32" s="73" t="s">
        <v>151</v>
      </c>
      <c r="F32" s="73" t="s">
        <v>106</v>
      </c>
      <c r="G32" s="73" t="s">
        <v>151</v>
      </c>
      <c r="H32" s="73" t="s">
        <v>106</v>
      </c>
      <c r="I32" s="73" t="s">
        <v>151</v>
      </c>
      <c r="J32" s="73" t="s">
        <v>106</v>
      </c>
      <c r="K32" s="73" t="s">
        <v>575</v>
      </c>
      <c r="L32" s="73" t="s">
        <v>106</v>
      </c>
      <c r="N32" s="73" t="s">
        <v>106</v>
      </c>
      <c r="P32" s="73" t="s">
        <v>106</v>
      </c>
      <c r="R32" s="73" t="s">
        <v>106</v>
      </c>
      <c r="T32" s="73" t="s">
        <v>106</v>
      </c>
      <c r="U32" s="73" t="s">
        <v>576</v>
      </c>
      <c r="V32" s="73" t="s">
        <v>106</v>
      </c>
      <c r="W32" s="73" t="s">
        <v>151</v>
      </c>
      <c r="X32" s="73" t="s">
        <v>106</v>
      </c>
      <c r="Y32" s="73" t="s">
        <v>151</v>
      </c>
      <c r="Z32" s="73" t="s">
        <v>106</v>
      </c>
      <c r="AA32" s="73" t="s">
        <v>151</v>
      </c>
      <c r="AB32" s="73" t="s">
        <v>108</v>
      </c>
      <c r="AC32" s="73" t="s">
        <v>151</v>
      </c>
      <c r="AD32" s="73" t="s">
        <v>106</v>
      </c>
      <c r="AE32" s="73" t="s">
        <v>151</v>
      </c>
      <c r="AF32" s="73" t="s">
        <v>106</v>
      </c>
      <c r="AG32" s="73" t="s">
        <v>151</v>
      </c>
      <c r="AH32" s="73" t="s">
        <v>106</v>
      </c>
      <c r="AI32" s="73" t="s">
        <v>151</v>
      </c>
      <c r="AJ32" s="73" t="s">
        <v>106</v>
      </c>
      <c r="AK32" s="73" t="s">
        <v>151</v>
      </c>
      <c r="AL32" s="73" t="s">
        <v>106</v>
      </c>
      <c r="AM32" s="73" t="s">
        <v>151</v>
      </c>
      <c r="AN32" s="73" t="s">
        <v>106</v>
      </c>
      <c r="AO32" s="73" t="s">
        <v>151</v>
      </c>
      <c r="AP32" s="73" t="s">
        <v>106</v>
      </c>
      <c r="AQ32" s="73" t="s">
        <v>151</v>
      </c>
      <c r="AR32" s="73" t="s">
        <v>106</v>
      </c>
      <c r="AS32" s="73" t="s">
        <v>151</v>
      </c>
      <c r="AT32" s="73" t="s">
        <v>106</v>
      </c>
      <c r="AU32" s="73" t="s">
        <v>151</v>
      </c>
      <c r="AV32" s="73" t="s">
        <v>106</v>
      </c>
      <c r="AW32" s="73" t="s">
        <v>151</v>
      </c>
      <c r="AX32" s="73" t="s">
        <v>106</v>
      </c>
      <c r="AY32" s="73" t="s">
        <v>151</v>
      </c>
      <c r="AZ32" s="73" t="s">
        <v>106</v>
      </c>
      <c r="BA32" s="73" t="s">
        <v>151</v>
      </c>
      <c r="BB32" s="73" t="s">
        <v>106</v>
      </c>
      <c r="BC32" s="73" t="s">
        <v>151</v>
      </c>
      <c r="BD32" s="73" t="s">
        <v>106</v>
      </c>
      <c r="BE32" s="73" t="s">
        <v>151</v>
      </c>
      <c r="BF32" s="73" t="s">
        <v>106</v>
      </c>
      <c r="BG32" s="73" t="s">
        <v>151</v>
      </c>
      <c r="BH32" s="73" t="s">
        <v>106</v>
      </c>
      <c r="BI32" s="73" t="s">
        <v>151</v>
      </c>
      <c r="BJ32" s="73" t="s">
        <v>106</v>
      </c>
      <c r="BK32" s="73" t="s">
        <v>151</v>
      </c>
      <c r="BL32" s="73" t="s">
        <v>106</v>
      </c>
      <c r="BM32" s="73" t="s">
        <v>151</v>
      </c>
      <c r="BN32" s="73" t="s">
        <v>106</v>
      </c>
      <c r="BO32" s="73" t="s">
        <v>151</v>
      </c>
      <c r="BP32" s="73" t="s">
        <v>106</v>
      </c>
      <c r="BQ32" s="73" t="s">
        <v>151</v>
      </c>
      <c r="BR32" s="73" t="s">
        <v>106</v>
      </c>
      <c r="BS32" s="73" t="s">
        <v>151</v>
      </c>
      <c r="BT32" s="73" t="s">
        <v>109</v>
      </c>
      <c r="BU32" s="73" t="s">
        <v>577</v>
      </c>
      <c r="BV32" s="73" t="s">
        <v>106</v>
      </c>
      <c r="BW32" s="73" t="s">
        <v>151</v>
      </c>
      <c r="BX32" s="73" t="s">
        <v>106</v>
      </c>
      <c r="BY32" s="73" t="s">
        <v>151</v>
      </c>
      <c r="BZ32" s="73" t="s">
        <v>106</v>
      </c>
      <c r="CA32" s="73" t="s">
        <v>151</v>
      </c>
      <c r="CB32" s="73" t="s">
        <v>107</v>
      </c>
      <c r="CC32" s="73" t="s">
        <v>151</v>
      </c>
      <c r="CD32" s="73" t="s">
        <v>106</v>
      </c>
      <c r="CE32" s="73" t="s">
        <v>151</v>
      </c>
      <c r="CF32" s="73" t="s">
        <v>106</v>
      </c>
      <c r="CG32" s="73" t="s">
        <v>151</v>
      </c>
      <c r="CH32" s="73" t="s">
        <v>106</v>
      </c>
      <c r="CI32" s="73" t="s">
        <v>151</v>
      </c>
      <c r="CJ32" s="73" t="s">
        <v>106</v>
      </c>
      <c r="CK32" s="73" t="s">
        <v>151</v>
      </c>
      <c r="CL32" s="73" t="s">
        <v>106</v>
      </c>
      <c r="CM32" s="73" t="s">
        <v>151</v>
      </c>
      <c r="CN32" s="73" t="s">
        <v>108</v>
      </c>
      <c r="CO32" s="73" t="s">
        <v>151</v>
      </c>
      <c r="CP32" s="73" t="s">
        <v>109</v>
      </c>
      <c r="CQ32" s="73" t="s">
        <v>151</v>
      </c>
      <c r="CR32" s="73" t="s">
        <v>106</v>
      </c>
      <c r="CS32" s="73" t="s">
        <v>151</v>
      </c>
      <c r="CT32" s="73" t="s">
        <v>106</v>
      </c>
      <c r="CU32" s="73" t="s">
        <v>151</v>
      </c>
      <c r="CV32" s="73" t="s">
        <v>106</v>
      </c>
      <c r="CW32" s="73" t="s">
        <v>151</v>
      </c>
      <c r="CX32" s="73" t="s">
        <v>578</v>
      </c>
      <c r="CY32" s="73" t="s">
        <v>151</v>
      </c>
      <c r="CZ32" s="73" t="s">
        <v>579</v>
      </c>
      <c r="DA32" s="73" t="s">
        <v>580</v>
      </c>
      <c r="DB32" s="74" t="s">
        <v>581</v>
      </c>
    </row>
    <row r="33" spans="1:106" ht="13.2" x14ac:dyDescent="0.25">
      <c r="A33" s="78">
        <v>45687.380567037035</v>
      </c>
      <c r="B33" s="71" t="s">
        <v>106</v>
      </c>
      <c r="D33" s="71" t="s">
        <v>106</v>
      </c>
      <c r="F33" s="71" t="s">
        <v>106</v>
      </c>
      <c r="H33" s="71" t="s">
        <v>106</v>
      </c>
      <c r="J33" s="71" t="s">
        <v>109</v>
      </c>
      <c r="L33" s="71" t="s">
        <v>106</v>
      </c>
      <c r="N33" s="71" t="s">
        <v>106</v>
      </c>
      <c r="P33" s="71" t="s">
        <v>106</v>
      </c>
      <c r="R33" s="71" t="s">
        <v>106</v>
      </c>
      <c r="T33" s="71" t="s">
        <v>106</v>
      </c>
      <c r="V33" s="71" t="s">
        <v>106</v>
      </c>
      <c r="X33" s="71" t="s">
        <v>106</v>
      </c>
      <c r="Z33" s="71" t="s">
        <v>106</v>
      </c>
      <c r="AB33" s="71" t="s">
        <v>106</v>
      </c>
      <c r="AD33" s="71" t="s">
        <v>106</v>
      </c>
      <c r="AF33" s="71" t="s">
        <v>106</v>
      </c>
      <c r="AH33" s="71" t="s">
        <v>106</v>
      </c>
      <c r="AJ33" s="71" t="s">
        <v>106</v>
      </c>
      <c r="AL33" s="71" t="s">
        <v>106</v>
      </c>
      <c r="AN33" s="71" t="s">
        <v>106</v>
      </c>
      <c r="AP33" s="71" t="s">
        <v>106</v>
      </c>
      <c r="AR33" s="71" t="s">
        <v>106</v>
      </c>
      <c r="AT33" s="71" t="s">
        <v>106</v>
      </c>
      <c r="AV33" s="71" t="s">
        <v>106</v>
      </c>
      <c r="AX33" s="71" t="s">
        <v>106</v>
      </c>
      <c r="AZ33" s="71" t="s">
        <v>106</v>
      </c>
      <c r="BB33" s="71" t="s">
        <v>106</v>
      </c>
      <c r="BD33" s="71" t="s">
        <v>106</v>
      </c>
      <c r="BF33" s="71" t="s">
        <v>106</v>
      </c>
      <c r="BH33" s="71" t="s">
        <v>106</v>
      </c>
      <c r="BJ33" s="71" t="s">
        <v>106</v>
      </c>
      <c r="BL33" s="71" t="s">
        <v>106</v>
      </c>
      <c r="BN33" s="71" t="s">
        <v>106</v>
      </c>
      <c r="BP33" s="71" t="s">
        <v>106</v>
      </c>
      <c r="BR33" s="71" t="s">
        <v>106</v>
      </c>
      <c r="BT33" s="71" t="s">
        <v>107</v>
      </c>
      <c r="BV33" s="71" t="s">
        <v>106</v>
      </c>
      <c r="BX33" s="71" t="s">
        <v>106</v>
      </c>
      <c r="BZ33" s="71" t="s">
        <v>106</v>
      </c>
      <c r="CB33" s="71" t="s">
        <v>107</v>
      </c>
      <c r="CD33" s="71" t="s">
        <v>106</v>
      </c>
      <c r="CF33" s="71" t="s">
        <v>106</v>
      </c>
      <c r="CH33" s="71" t="s">
        <v>106</v>
      </c>
      <c r="CJ33" s="71" t="s">
        <v>106</v>
      </c>
      <c r="CL33" s="71" t="s">
        <v>106</v>
      </c>
      <c r="CN33" s="71" t="s">
        <v>107</v>
      </c>
      <c r="CP33" s="71" t="s">
        <v>107</v>
      </c>
      <c r="CR33" s="71" t="s">
        <v>106</v>
      </c>
      <c r="CT33" s="71" t="s">
        <v>106</v>
      </c>
      <c r="CV33" s="71" t="s">
        <v>106</v>
      </c>
      <c r="CW33" s="71" t="s">
        <v>582</v>
      </c>
      <c r="CX33" s="71" t="s">
        <v>583</v>
      </c>
      <c r="CY33" s="71" t="s">
        <v>584</v>
      </c>
      <c r="CZ33" s="71" t="s">
        <v>585</v>
      </c>
      <c r="DA33" s="71" t="s">
        <v>586</v>
      </c>
      <c r="DB33" s="72" t="s">
        <v>587</v>
      </c>
    </row>
    <row r="34" spans="1:106" ht="13.2" x14ac:dyDescent="0.25">
      <c r="A34" s="77">
        <v>45687.381431701389</v>
      </c>
      <c r="B34" s="73" t="s">
        <v>106</v>
      </c>
      <c r="D34" s="73" t="s">
        <v>106</v>
      </c>
      <c r="F34" s="73" t="s">
        <v>108</v>
      </c>
      <c r="H34" s="73" t="s">
        <v>106</v>
      </c>
      <c r="J34" s="73" t="s">
        <v>107</v>
      </c>
      <c r="K34" s="73" t="s">
        <v>588</v>
      </c>
      <c r="L34" s="73" t="s">
        <v>106</v>
      </c>
      <c r="N34" s="73" t="s">
        <v>106</v>
      </c>
      <c r="P34" s="73" t="s">
        <v>107</v>
      </c>
      <c r="Q34" s="73" t="s">
        <v>589</v>
      </c>
      <c r="R34" s="73" t="s">
        <v>106</v>
      </c>
      <c r="T34" s="73" t="s">
        <v>107</v>
      </c>
      <c r="U34" s="73" t="s">
        <v>590</v>
      </c>
      <c r="V34" s="73" t="s">
        <v>106</v>
      </c>
      <c r="X34" s="73" t="s">
        <v>106</v>
      </c>
      <c r="Z34" s="73" t="s">
        <v>106</v>
      </c>
      <c r="AB34" s="73" t="s">
        <v>106</v>
      </c>
      <c r="AD34" s="73" t="s">
        <v>106</v>
      </c>
      <c r="AF34" s="73" t="s">
        <v>106</v>
      </c>
      <c r="AH34" s="73" t="s">
        <v>106</v>
      </c>
      <c r="AJ34" s="73" t="s">
        <v>106</v>
      </c>
      <c r="AL34" s="73" t="s">
        <v>108</v>
      </c>
      <c r="AN34" s="73" t="s">
        <v>108</v>
      </c>
      <c r="AP34" s="73" t="s">
        <v>106</v>
      </c>
      <c r="AR34" s="73" t="s">
        <v>108</v>
      </c>
      <c r="AT34" s="73" t="s">
        <v>106</v>
      </c>
      <c r="AV34" s="73" t="s">
        <v>106</v>
      </c>
      <c r="AX34" s="73" t="s">
        <v>106</v>
      </c>
      <c r="AZ34" s="73" t="s">
        <v>106</v>
      </c>
      <c r="BB34" s="73" t="s">
        <v>108</v>
      </c>
      <c r="BD34" s="73" t="s">
        <v>108</v>
      </c>
      <c r="BF34" s="73" t="s">
        <v>106</v>
      </c>
      <c r="BH34" s="73" t="s">
        <v>108</v>
      </c>
      <c r="BJ34" s="73" t="s">
        <v>106</v>
      </c>
      <c r="BL34" s="73" t="s">
        <v>106</v>
      </c>
      <c r="BN34" s="73" t="s">
        <v>106</v>
      </c>
      <c r="BP34" s="73" t="s">
        <v>106</v>
      </c>
      <c r="BR34" s="73" t="s">
        <v>106</v>
      </c>
      <c r="BT34" s="73" t="s">
        <v>107</v>
      </c>
      <c r="BU34" s="73" t="s">
        <v>591</v>
      </c>
      <c r="BV34" s="73" t="s">
        <v>106</v>
      </c>
      <c r="BX34" s="73" t="s">
        <v>106</v>
      </c>
      <c r="BZ34" s="73" t="s">
        <v>106</v>
      </c>
      <c r="CB34" s="73" t="s">
        <v>107</v>
      </c>
      <c r="CC34" s="73" t="s">
        <v>592</v>
      </c>
      <c r="CD34" s="73" t="s">
        <v>108</v>
      </c>
      <c r="CF34" s="73" t="s">
        <v>108</v>
      </c>
      <c r="CH34" s="73" t="s">
        <v>106</v>
      </c>
      <c r="CJ34" s="73" t="s">
        <v>106</v>
      </c>
      <c r="CL34" s="73" t="s">
        <v>106</v>
      </c>
      <c r="CN34" s="73" t="s">
        <v>106</v>
      </c>
      <c r="CP34" s="73" t="s">
        <v>107</v>
      </c>
      <c r="CQ34" s="73" t="s">
        <v>593</v>
      </c>
      <c r="CR34" s="73" t="s">
        <v>106</v>
      </c>
      <c r="CT34" s="73" t="s">
        <v>107</v>
      </c>
      <c r="CU34" s="73" t="s">
        <v>594</v>
      </c>
      <c r="CV34" s="73" t="s">
        <v>106</v>
      </c>
      <c r="CW34" s="73" t="s">
        <v>595</v>
      </c>
      <c r="CX34" s="73" t="s">
        <v>508</v>
      </c>
      <c r="CY34" s="73" t="s">
        <v>596</v>
      </c>
      <c r="CZ34" s="73" t="s">
        <v>597</v>
      </c>
      <c r="DA34" s="73" t="s">
        <v>598</v>
      </c>
      <c r="DB34" s="74" t="s">
        <v>595</v>
      </c>
    </row>
    <row r="35" spans="1:106" ht="13.2" x14ac:dyDescent="0.25">
      <c r="A35" s="78">
        <v>45687.381471712964</v>
      </c>
      <c r="B35" s="71" t="s">
        <v>106</v>
      </c>
      <c r="D35" s="71" t="s">
        <v>108</v>
      </c>
      <c r="F35" s="71" t="s">
        <v>106</v>
      </c>
      <c r="H35" s="71" t="s">
        <v>106</v>
      </c>
      <c r="J35" s="71" t="s">
        <v>106</v>
      </c>
      <c r="L35" s="71" t="s">
        <v>106</v>
      </c>
      <c r="N35" s="71" t="s">
        <v>107</v>
      </c>
      <c r="O35" s="71" t="s">
        <v>599</v>
      </c>
      <c r="P35" s="71" t="s">
        <v>106</v>
      </c>
      <c r="R35" s="71" t="s">
        <v>108</v>
      </c>
      <c r="T35" s="71" t="s">
        <v>108</v>
      </c>
      <c r="V35" s="71" t="s">
        <v>108</v>
      </c>
      <c r="X35" s="71" t="s">
        <v>106</v>
      </c>
      <c r="Z35" s="71" t="s">
        <v>108</v>
      </c>
      <c r="AB35" s="71" t="s">
        <v>106</v>
      </c>
      <c r="AD35" s="71" t="s">
        <v>106</v>
      </c>
      <c r="AF35" s="71" t="s">
        <v>106</v>
      </c>
      <c r="AH35" s="71" t="s">
        <v>108</v>
      </c>
      <c r="AJ35" s="71" t="s">
        <v>108</v>
      </c>
      <c r="AL35" s="71" t="s">
        <v>108</v>
      </c>
      <c r="AN35" s="71" t="s">
        <v>108</v>
      </c>
      <c r="AP35" s="71" t="s">
        <v>108</v>
      </c>
      <c r="AR35" s="71" t="s">
        <v>108</v>
      </c>
      <c r="AT35" s="71" t="s">
        <v>106</v>
      </c>
      <c r="AV35" s="71" t="s">
        <v>108</v>
      </c>
      <c r="AX35" s="71" t="s">
        <v>106</v>
      </c>
      <c r="AZ35" s="71" t="s">
        <v>108</v>
      </c>
      <c r="BB35" s="71" t="s">
        <v>108</v>
      </c>
      <c r="BD35" s="71" t="s">
        <v>108</v>
      </c>
      <c r="BF35" s="71" t="s">
        <v>108</v>
      </c>
      <c r="BH35" s="71" t="s">
        <v>108</v>
      </c>
      <c r="BJ35" s="71" t="s">
        <v>106</v>
      </c>
      <c r="BL35" s="71" t="s">
        <v>108</v>
      </c>
      <c r="BN35" s="71" t="s">
        <v>108</v>
      </c>
      <c r="BP35" s="71" t="s">
        <v>108</v>
      </c>
      <c r="BR35" s="71" t="s">
        <v>108</v>
      </c>
      <c r="BT35" s="71" t="s">
        <v>109</v>
      </c>
      <c r="BU35" s="71" t="s">
        <v>600</v>
      </c>
      <c r="BV35" s="71" t="s">
        <v>106</v>
      </c>
      <c r="BX35" s="71" t="s">
        <v>106</v>
      </c>
      <c r="BZ35" s="71" t="s">
        <v>107</v>
      </c>
      <c r="CA35" s="71" t="s">
        <v>601</v>
      </c>
      <c r="CB35" s="71" t="s">
        <v>107</v>
      </c>
      <c r="CC35" s="71" t="s">
        <v>602</v>
      </c>
      <c r="CD35" s="71" t="s">
        <v>106</v>
      </c>
      <c r="CF35" s="71" t="s">
        <v>108</v>
      </c>
      <c r="CH35" s="71" t="s">
        <v>108</v>
      </c>
      <c r="CJ35" s="71" t="s">
        <v>106</v>
      </c>
      <c r="CL35" s="71" t="s">
        <v>108</v>
      </c>
      <c r="CN35" s="71" t="s">
        <v>106</v>
      </c>
      <c r="CO35" s="71" t="s">
        <v>603</v>
      </c>
      <c r="CP35" s="71" t="s">
        <v>107</v>
      </c>
      <c r="CQ35" s="71" t="s">
        <v>604</v>
      </c>
      <c r="CR35" s="71" t="s">
        <v>108</v>
      </c>
      <c r="CT35" s="71" t="s">
        <v>108</v>
      </c>
      <c r="CV35" s="71" t="s">
        <v>108</v>
      </c>
      <c r="CW35" s="71" t="s">
        <v>605</v>
      </c>
      <c r="CX35" s="71" t="s">
        <v>606</v>
      </c>
      <c r="CY35" s="71" t="s">
        <v>607</v>
      </c>
      <c r="CZ35" s="71" t="s">
        <v>608</v>
      </c>
      <c r="DA35" s="71" t="s">
        <v>609</v>
      </c>
      <c r="DB35" s="72" t="s">
        <v>610</v>
      </c>
    </row>
    <row r="36" spans="1:106" ht="13.2" x14ac:dyDescent="0.25">
      <c r="A36" s="77">
        <v>45687.383386770831</v>
      </c>
      <c r="B36" s="73" t="s">
        <v>108</v>
      </c>
      <c r="D36" s="73" t="s">
        <v>108</v>
      </c>
      <c r="F36" s="73" t="s">
        <v>108</v>
      </c>
      <c r="H36" s="73" t="s">
        <v>108</v>
      </c>
      <c r="J36" s="73" t="s">
        <v>108</v>
      </c>
      <c r="L36" s="73" t="s">
        <v>108</v>
      </c>
      <c r="N36" s="73" t="s">
        <v>106</v>
      </c>
      <c r="P36" s="73" t="s">
        <v>108</v>
      </c>
      <c r="R36" s="73" t="s">
        <v>108</v>
      </c>
      <c r="T36" s="73" t="s">
        <v>108</v>
      </c>
      <c r="V36" s="73" t="s">
        <v>108</v>
      </c>
      <c r="X36" s="73" t="s">
        <v>106</v>
      </c>
      <c r="Z36" s="73" t="s">
        <v>108</v>
      </c>
      <c r="AB36" s="73" t="s">
        <v>106</v>
      </c>
      <c r="AD36" s="73" t="s">
        <v>106</v>
      </c>
      <c r="AF36" s="73" t="s">
        <v>108</v>
      </c>
      <c r="AH36" s="73" t="s">
        <v>106</v>
      </c>
      <c r="AJ36" s="73" t="s">
        <v>106</v>
      </c>
      <c r="AL36" s="73" t="s">
        <v>106</v>
      </c>
      <c r="AN36" s="73" t="s">
        <v>106</v>
      </c>
      <c r="AP36" s="73" t="s">
        <v>107</v>
      </c>
      <c r="AR36" s="73" t="s">
        <v>106</v>
      </c>
      <c r="AT36" s="73" t="s">
        <v>107</v>
      </c>
      <c r="AV36" s="73" t="s">
        <v>107</v>
      </c>
      <c r="AX36" s="73" t="s">
        <v>107</v>
      </c>
      <c r="AZ36" s="73" t="s">
        <v>106</v>
      </c>
      <c r="BB36" s="73" t="s">
        <v>107</v>
      </c>
      <c r="BD36" s="73" t="s">
        <v>106</v>
      </c>
      <c r="BF36" s="73" t="s">
        <v>106</v>
      </c>
      <c r="BH36" s="73" t="s">
        <v>107</v>
      </c>
      <c r="BJ36" s="73" t="s">
        <v>107</v>
      </c>
      <c r="BL36" s="73" t="s">
        <v>106</v>
      </c>
      <c r="BN36" s="73" t="s">
        <v>107</v>
      </c>
      <c r="BP36" s="73" t="s">
        <v>107</v>
      </c>
      <c r="BR36" s="73" t="s">
        <v>108</v>
      </c>
      <c r="BT36" s="73" t="s">
        <v>106</v>
      </c>
      <c r="BV36" s="73" t="s">
        <v>107</v>
      </c>
      <c r="BX36" s="73" t="s">
        <v>107</v>
      </c>
      <c r="BZ36" s="73" t="s">
        <v>107</v>
      </c>
      <c r="CB36" s="73" t="s">
        <v>106</v>
      </c>
      <c r="CD36" s="73" t="s">
        <v>106</v>
      </c>
      <c r="CF36" s="73" t="s">
        <v>106</v>
      </c>
      <c r="CH36" s="73" t="s">
        <v>108</v>
      </c>
      <c r="CJ36" s="73" t="s">
        <v>106</v>
      </c>
      <c r="CL36" s="73" t="s">
        <v>108</v>
      </c>
      <c r="CN36" s="73" t="s">
        <v>106</v>
      </c>
      <c r="CP36" s="73" t="s">
        <v>107</v>
      </c>
      <c r="CR36" s="73" t="s">
        <v>108</v>
      </c>
      <c r="CT36" s="73" t="s">
        <v>108</v>
      </c>
      <c r="CV36" s="73" t="s">
        <v>108</v>
      </c>
      <c r="CW36" s="73" t="s">
        <v>129</v>
      </c>
      <c r="CX36" s="73" t="s">
        <v>611</v>
      </c>
      <c r="CY36" s="73" t="s">
        <v>129</v>
      </c>
      <c r="CZ36" s="73" t="s">
        <v>612</v>
      </c>
      <c r="DA36" s="73" t="s">
        <v>129</v>
      </c>
      <c r="DB36" s="74" t="s">
        <v>129</v>
      </c>
    </row>
    <row r="37" spans="1:106" ht="13.2" x14ac:dyDescent="0.25">
      <c r="A37" s="78">
        <v>45687.383451817128</v>
      </c>
      <c r="B37" s="71" t="s">
        <v>106</v>
      </c>
      <c r="C37" s="71" t="s">
        <v>613</v>
      </c>
      <c r="D37" s="71" t="s">
        <v>107</v>
      </c>
      <c r="E37" s="71" t="s">
        <v>614</v>
      </c>
      <c r="F37" s="71" t="s">
        <v>106</v>
      </c>
      <c r="H37" s="71" t="s">
        <v>106</v>
      </c>
      <c r="J37" s="71" t="s">
        <v>107</v>
      </c>
      <c r="K37" s="71" t="s">
        <v>615</v>
      </c>
      <c r="L37" s="71" t="s">
        <v>106</v>
      </c>
      <c r="M37" s="71" t="s">
        <v>616</v>
      </c>
      <c r="N37" s="71" t="s">
        <v>106</v>
      </c>
      <c r="P37" s="71" t="s">
        <v>107</v>
      </c>
      <c r="Q37" s="71" t="s">
        <v>617</v>
      </c>
      <c r="R37" s="71" t="s">
        <v>106</v>
      </c>
      <c r="T37" s="71" t="s">
        <v>106</v>
      </c>
      <c r="V37" s="71" t="s">
        <v>106</v>
      </c>
      <c r="X37" s="71" t="s">
        <v>106</v>
      </c>
      <c r="Z37" s="71" t="s">
        <v>106</v>
      </c>
      <c r="AB37" s="71" t="s">
        <v>107</v>
      </c>
      <c r="AC37" s="71" t="s">
        <v>618</v>
      </c>
      <c r="AD37" s="71" t="s">
        <v>106</v>
      </c>
      <c r="AF37" s="71" t="s">
        <v>106</v>
      </c>
      <c r="AH37" s="71" t="s">
        <v>106</v>
      </c>
      <c r="AJ37" s="71" t="s">
        <v>106</v>
      </c>
      <c r="AK37" s="71" t="s">
        <v>619</v>
      </c>
      <c r="AL37" s="71" t="s">
        <v>106</v>
      </c>
      <c r="AM37" s="71" t="s">
        <v>620</v>
      </c>
      <c r="AN37" s="71" t="s">
        <v>106</v>
      </c>
      <c r="AP37" s="71" t="s">
        <v>106</v>
      </c>
      <c r="AQ37" s="71" t="s">
        <v>621</v>
      </c>
      <c r="AR37" s="71" t="s">
        <v>108</v>
      </c>
      <c r="AT37" s="71" t="s">
        <v>108</v>
      </c>
      <c r="AV37" s="71" t="s">
        <v>106</v>
      </c>
      <c r="AX37" s="71" t="s">
        <v>106</v>
      </c>
      <c r="AZ37" s="71" t="s">
        <v>108</v>
      </c>
      <c r="BB37" s="71" t="s">
        <v>108</v>
      </c>
      <c r="BD37" s="71" t="s">
        <v>106</v>
      </c>
      <c r="BF37" s="71" t="s">
        <v>106</v>
      </c>
      <c r="BH37" s="71" t="s">
        <v>106</v>
      </c>
      <c r="BJ37" s="71" t="s">
        <v>106</v>
      </c>
      <c r="BL37" s="71" t="s">
        <v>106</v>
      </c>
      <c r="BN37" s="71" t="s">
        <v>106</v>
      </c>
      <c r="BP37" s="71" t="s">
        <v>106</v>
      </c>
      <c r="BR37" s="71" t="s">
        <v>106</v>
      </c>
      <c r="BT37" s="71" t="s">
        <v>109</v>
      </c>
      <c r="BU37" s="71" t="s">
        <v>622</v>
      </c>
      <c r="BV37" s="71" t="s">
        <v>106</v>
      </c>
      <c r="BX37" s="71" t="s">
        <v>106</v>
      </c>
      <c r="BZ37" s="71" t="s">
        <v>108</v>
      </c>
      <c r="CB37" s="71" t="s">
        <v>107</v>
      </c>
      <c r="CC37" s="71" t="s">
        <v>623</v>
      </c>
      <c r="CD37" s="71" t="s">
        <v>106</v>
      </c>
      <c r="CF37" s="71" t="s">
        <v>106</v>
      </c>
      <c r="CH37" s="71" t="s">
        <v>106</v>
      </c>
      <c r="CJ37" s="71" t="s">
        <v>106</v>
      </c>
      <c r="CL37" s="71" t="s">
        <v>106</v>
      </c>
      <c r="CN37" s="71" t="s">
        <v>107</v>
      </c>
      <c r="CP37" s="71" t="s">
        <v>109</v>
      </c>
      <c r="CQ37" s="71" t="s">
        <v>624</v>
      </c>
      <c r="CR37" s="71" t="s">
        <v>106</v>
      </c>
      <c r="CT37" s="71" t="s">
        <v>106</v>
      </c>
      <c r="CV37" s="71" t="s">
        <v>106</v>
      </c>
      <c r="CW37" s="71" t="s">
        <v>625</v>
      </c>
      <c r="CX37" s="71" t="s">
        <v>626</v>
      </c>
      <c r="CY37" s="71" t="s">
        <v>627</v>
      </c>
      <c r="CZ37" s="71" t="s">
        <v>628</v>
      </c>
      <c r="DA37" s="71" t="s">
        <v>629</v>
      </c>
      <c r="DB37" s="72" t="s">
        <v>630</v>
      </c>
    </row>
    <row r="38" spans="1:106" ht="13.2" x14ac:dyDescent="0.25">
      <c r="A38" s="77">
        <v>45687.387465208332</v>
      </c>
      <c r="B38" s="73" t="s">
        <v>106</v>
      </c>
      <c r="D38" s="73" t="s">
        <v>106</v>
      </c>
      <c r="F38" s="73" t="s">
        <v>106</v>
      </c>
      <c r="H38" s="73" t="s">
        <v>108</v>
      </c>
      <c r="J38" s="73" t="s">
        <v>107</v>
      </c>
      <c r="K38" s="73" t="s">
        <v>631</v>
      </c>
      <c r="L38" s="73" t="s">
        <v>106</v>
      </c>
      <c r="N38" s="73" t="s">
        <v>106</v>
      </c>
      <c r="P38" s="73" t="s">
        <v>107</v>
      </c>
      <c r="R38" s="73" t="s">
        <v>106</v>
      </c>
      <c r="T38" s="73" t="s">
        <v>108</v>
      </c>
      <c r="U38" s="73" t="s">
        <v>632</v>
      </c>
      <c r="V38" s="73" t="s">
        <v>106</v>
      </c>
      <c r="X38" s="73" t="s">
        <v>106</v>
      </c>
      <c r="Y38" s="73" t="s">
        <v>633</v>
      </c>
      <c r="Z38" s="73" t="s">
        <v>106</v>
      </c>
      <c r="AB38" s="73" t="s">
        <v>107</v>
      </c>
      <c r="AC38" s="73" t="s">
        <v>634</v>
      </c>
      <c r="AD38" s="73" t="s">
        <v>106</v>
      </c>
      <c r="AF38" s="73" t="s">
        <v>106</v>
      </c>
      <c r="AH38" s="73" t="s">
        <v>106</v>
      </c>
      <c r="AJ38" s="73" t="s">
        <v>106</v>
      </c>
      <c r="AL38" s="73" t="s">
        <v>106</v>
      </c>
      <c r="AM38" s="73" t="s">
        <v>635</v>
      </c>
      <c r="AN38" s="73" t="s">
        <v>108</v>
      </c>
      <c r="AP38" s="73" t="s">
        <v>106</v>
      </c>
      <c r="AR38" s="73" t="s">
        <v>108</v>
      </c>
      <c r="AS38" s="73" t="s">
        <v>636</v>
      </c>
      <c r="AT38" s="73" t="s">
        <v>106</v>
      </c>
      <c r="AV38" s="73" t="s">
        <v>106</v>
      </c>
      <c r="AX38" s="73" t="s">
        <v>106</v>
      </c>
      <c r="AZ38" s="73" t="s">
        <v>106</v>
      </c>
      <c r="BA38" s="73" t="s">
        <v>637</v>
      </c>
      <c r="BB38" s="73" t="s">
        <v>106</v>
      </c>
      <c r="BD38" s="73" t="s">
        <v>106</v>
      </c>
      <c r="BF38" s="73" t="s">
        <v>106</v>
      </c>
      <c r="BH38" s="73" t="s">
        <v>106</v>
      </c>
      <c r="BJ38" s="73" t="s">
        <v>106</v>
      </c>
      <c r="BL38" s="73" t="s">
        <v>106</v>
      </c>
      <c r="BN38" s="73" t="s">
        <v>106</v>
      </c>
      <c r="BP38" s="73" t="s">
        <v>106</v>
      </c>
      <c r="BQ38" s="73" t="s">
        <v>638</v>
      </c>
      <c r="BR38" s="73" t="s">
        <v>106</v>
      </c>
      <c r="BT38" s="73" t="s">
        <v>107</v>
      </c>
      <c r="BU38" s="73" t="s">
        <v>639</v>
      </c>
      <c r="BV38" s="73" t="s">
        <v>106</v>
      </c>
      <c r="BX38" s="73" t="s">
        <v>106</v>
      </c>
      <c r="BZ38" s="73" t="s">
        <v>106</v>
      </c>
      <c r="CB38" s="73" t="s">
        <v>107</v>
      </c>
      <c r="CD38" s="73" t="s">
        <v>107</v>
      </c>
      <c r="CE38" s="73" t="s">
        <v>640</v>
      </c>
      <c r="CF38" s="73" t="s">
        <v>107</v>
      </c>
      <c r="CG38" s="73" t="s">
        <v>641</v>
      </c>
      <c r="CH38" s="73" t="s">
        <v>106</v>
      </c>
      <c r="CJ38" s="73" t="s">
        <v>106</v>
      </c>
      <c r="CL38" s="73" t="s">
        <v>106</v>
      </c>
      <c r="CN38" s="73" t="s">
        <v>107</v>
      </c>
      <c r="CO38" s="73" t="s">
        <v>642</v>
      </c>
      <c r="CP38" s="73" t="s">
        <v>107</v>
      </c>
      <c r="CQ38" s="73" t="s">
        <v>643</v>
      </c>
      <c r="CR38" s="73" t="s">
        <v>106</v>
      </c>
      <c r="CT38" s="73" t="s">
        <v>107</v>
      </c>
      <c r="CU38" s="73" t="s">
        <v>644</v>
      </c>
      <c r="CV38" s="73" t="s">
        <v>106</v>
      </c>
      <c r="CW38" s="73" t="s">
        <v>645</v>
      </c>
      <c r="CX38" s="73" t="s">
        <v>646</v>
      </c>
      <c r="CY38" s="73" t="s">
        <v>129</v>
      </c>
      <c r="CZ38" s="73" t="s">
        <v>647</v>
      </c>
      <c r="DA38" s="73" t="s">
        <v>648</v>
      </c>
      <c r="DB38" s="74" t="s">
        <v>129</v>
      </c>
    </row>
    <row r="39" spans="1:106" ht="13.2" x14ac:dyDescent="0.25">
      <c r="A39" s="78">
        <v>45687.391380972222</v>
      </c>
      <c r="B39" s="71" t="s">
        <v>106</v>
      </c>
      <c r="C39" s="71" t="s">
        <v>649</v>
      </c>
      <c r="D39" s="71" t="s">
        <v>108</v>
      </c>
      <c r="E39" s="71" t="s">
        <v>649</v>
      </c>
      <c r="F39" s="71" t="s">
        <v>106</v>
      </c>
      <c r="G39" s="71" t="s">
        <v>649</v>
      </c>
      <c r="H39" s="71" t="s">
        <v>108</v>
      </c>
      <c r="I39" s="71" t="s">
        <v>649</v>
      </c>
      <c r="J39" s="71" t="s">
        <v>106</v>
      </c>
      <c r="K39" s="71" t="s">
        <v>649</v>
      </c>
      <c r="L39" s="71" t="s">
        <v>107</v>
      </c>
      <c r="M39" s="71" t="s">
        <v>650</v>
      </c>
      <c r="N39" s="71" t="s">
        <v>106</v>
      </c>
      <c r="O39" s="71" t="s">
        <v>651</v>
      </c>
      <c r="P39" s="71" t="s">
        <v>106</v>
      </c>
      <c r="Q39" s="71" t="s">
        <v>652</v>
      </c>
      <c r="R39" s="71" t="s">
        <v>107</v>
      </c>
      <c r="S39" s="71" t="s">
        <v>653</v>
      </c>
      <c r="T39" s="71" t="s">
        <v>108</v>
      </c>
      <c r="U39" s="71" t="s">
        <v>654</v>
      </c>
      <c r="V39" s="71" t="s">
        <v>106</v>
      </c>
      <c r="W39" s="71" t="s">
        <v>649</v>
      </c>
      <c r="X39" s="71" t="s">
        <v>107</v>
      </c>
      <c r="Y39" s="71" t="s">
        <v>655</v>
      </c>
      <c r="Z39" s="71" t="s">
        <v>108</v>
      </c>
      <c r="AA39" s="71" t="s">
        <v>649</v>
      </c>
      <c r="AB39" s="71" t="s">
        <v>109</v>
      </c>
      <c r="AC39" s="71" t="s">
        <v>656</v>
      </c>
      <c r="AD39" s="71" t="s">
        <v>107</v>
      </c>
      <c r="AE39" s="71" t="s">
        <v>657</v>
      </c>
      <c r="AF39" s="71" t="s">
        <v>109</v>
      </c>
      <c r="AG39" s="71" t="s">
        <v>658</v>
      </c>
      <c r="AH39" s="71" t="s">
        <v>108</v>
      </c>
      <c r="AI39" s="71" t="s">
        <v>649</v>
      </c>
      <c r="AJ39" s="71" t="s">
        <v>108</v>
      </c>
      <c r="AK39" s="71" t="s">
        <v>649</v>
      </c>
      <c r="AL39" s="71" t="s">
        <v>108</v>
      </c>
      <c r="AM39" s="71" t="s">
        <v>649</v>
      </c>
      <c r="AN39" s="71" t="s">
        <v>108</v>
      </c>
      <c r="AO39" s="71" t="s">
        <v>649</v>
      </c>
      <c r="AP39" s="71" t="s">
        <v>108</v>
      </c>
      <c r="AQ39" s="71" t="s">
        <v>649</v>
      </c>
      <c r="AR39" s="71" t="s">
        <v>108</v>
      </c>
      <c r="AS39" s="71" t="s">
        <v>649</v>
      </c>
      <c r="AT39" s="71" t="s">
        <v>106</v>
      </c>
      <c r="AU39" s="71" t="s">
        <v>649</v>
      </c>
      <c r="AV39" s="71" t="s">
        <v>106</v>
      </c>
      <c r="AW39" s="71" t="s">
        <v>649</v>
      </c>
      <c r="AX39" s="71" t="s">
        <v>108</v>
      </c>
      <c r="AY39" s="71" t="s">
        <v>649</v>
      </c>
      <c r="AZ39" s="71" t="s">
        <v>107</v>
      </c>
      <c r="BA39" s="71" t="s">
        <v>659</v>
      </c>
      <c r="BB39" s="71" t="s">
        <v>106</v>
      </c>
      <c r="BC39" s="71" t="s">
        <v>660</v>
      </c>
      <c r="BD39" s="71" t="s">
        <v>108</v>
      </c>
      <c r="BE39" s="71" t="s">
        <v>649</v>
      </c>
      <c r="BF39" s="71" t="s">
        <v>108</v>
      </c>
      <c r="BG39" s="71" t="s">
        <v>649</v>
      </c>
      <c r="BH39" s="71" t="s">
        <v>108</v>
      </c>
      <c r="BI39" s="71" t="s">
        <v>649</v>
      </c>
      <c r="BJ39" s="71" t="s">
        <v>106</v>
      </c>
      <c r="BK39" s="71" t="s">
        <v>661</v>
      </c>
      <c r="BL39" s="71" t="s">
        <v>108</v>
      </c>
      <c r="BM39" s="71" t="s">
        <v>649</v>
      </c>
      <c r="BN39" s="71" t="s">
        <v>108</v>
      </c>
      <c r="BO39" s="71" t="s">
        <v>649</v>
      </c>
      <c r="BP39" s="71" t="s">
        <v>106</v>
      </c>
      <c r="BQ39" s="71" t="s">
        <v>649</v>
      </c>
      <c r="BR39" s="71" t="s">
        <v>108</v>
      </c>
      <c r="BS39" s="71" t="s">
        <v>649</v>
      </c>
      <c r="BT39" s="71" t="s">
        <v>109</v>
      </c>
      <c r="BU39" s="71" t="s">
        <v>662</v>
      </c>
      <c r="BV39" s="71" t="s">
        <v>106</v>
      </c>
      <c r="BW39" s="71" t="s">
        <v>649</v>
      </c>
      <c r="BX39" s="71" t="s">
        <v>106</v>
      </c>
      <c r="BY39" s="71" t="s">
        <v>659</v>
      </c>
      <c r="BZ39" s="71" t="s">
        <v>107</v>
      </c>
      <c r="CA39" s="71" t="s">
        <v>663</v>
      </c>
      <c r="CB39" s="71" t="s">
        <v>109</v>
      </c>
      <c r="CC39" s="71" t="s">
        <v>658</v>
      </c>
      <c r="CD39" s="71" t="s">
        <v>106</v>
      </c>
      <c r="CE39" s="71" t="s">
        <v>649</v>
      </c>
      <c r="CF39" s="71" t="s">
        <v>106</v>
      </c>
      <c r="CG39" s="71" t="s">
        <v>649</v>
      </c>
      <c r="CH39" s="71" t="s">
        <v>108</v>
      </c>
      <c r="CI39" s="71" t="s">
        <v>649</v>
      </c>
      <c r="CJ39" s="71" t="s">
        <v>107</v>
      </c>
      <c r="CK39" s="71" t="s">
        <v>664</v>
      </c>
      <c r="CL39" s="71" t="s">
        <v>108</v>
      </c>
      <c r="CM39" s="71" t="s">
        <v>649</v>
      </c>
      <c r="CN39" s="71" t="s">
        <v>108</v>
      </c>
      <c r="CO39" s="71" t="s">
        <v>649</v>
      </c>
      <c r="CP39" s="71" t="s">
        <v>109</v>
      </c>
      <c r="CQ39" s="71" t="s">
        <v>665</v>
      </c>
      <c r="CR39" s="71" t="s">
        <v>107</v>
      </c>
      <c r="CS39" s="71" t="s">
        <v>666</v>
      </c>
      <c r="CT39" s="71" t="s">
        <v>108</v>
      </c>
      <c r="CU39" s="71" t="s">
        <v>649</v>
      </c>
      <c r="CV39" s="71" t="s">
        <v>107</v>
      </c>
      <c r="CW39" s="71" t="s">
        <v>667</v>
      </c>
      <c r="CX39" s="71" t="s">
        <v>611</v>
      </c>
      <c r="CY39" s="71" t="s">
        <v>649</v>
      </c>
      <c r="CZ39" s="71" t="s">
        <v>668</v>
      </c>
      <c r="DA39" s="71" t="s">
        <v>669</v>
      </c>
      <c r="DB39" s="72" t="s">
        <v>670</v>
      </c>
    </row>
    <row r="40" spans="1:106" ht="13.2" x14ac:dyDescent="0.25">
      <c r="A40" s="77">
        <v>45687.392381967591</v>
      </c>
      <c r="B40" s="73" t="s">
        <v>106</v>
      </c>
      <c r="D40" s="73" t="s">
        <v>106</v>
      </c>
      <c r="F40" s="73" t="s">
        <v>108</v>
      </c>
      <c r="H40" s="73" t="s">
        <v>106</v>
      </c>
      <c r="J40" s="73" t="s">
        <v>108</v>
      </c>
      <c r="L40" s="73" t="s">
        <v>106</v>
      </c>
      <c r="N40" s="73" t="s">
        <v>106</v>
      </c>
      <c r="P40" s="73" t="s">
        <v>108</v>
      </c>
      <c r="R40" s="73" t="s">
        <v>108</v>
      </c>
      <c r="T40" s="73" t="s">
        <v>108</v>
      </c>
      <c r="V40" s="73" t="s">
        <v>108</v>
      </c>
      <c r="X40" s="73" t="s">
        <v>107</v>
      </c>
      <c r="Z40" s="73" t="s">
        <v>107</v>
      </c>
      <c r="AB40" s="73" t="s">
        <v>106</v>
      </c>
      <c r="AD40" s="73" t="s">
        <v>106</v>
      </c>
      <c r="AF40" s="73" t="s">
        <v>107</v>
      </c>
      <c r="AG40" s="73" t="s">
        <v>671</v>
      </c>
      <c r="AH40" s="73" t="s">
        <v>106</v>
      </c>
      <c r="AJ40" s="73" t="s">
        <v>107</v>
      </c>
      <c r="AK40" s="73" t="s">
        <v>672</v>
      </c>
      <c r="AL40" s="73" t="s">
        <v>106</v>
      </c>
      <c r="AN40" s="73" t="s">
        <v>106</v>
      </c>
      <c r="AP40" s="73" t="s">
        <v>108</v>
      </c>
      <c r="AR40" s="73" t="s">
        <v>108</v>
      </c>
      <c r="AT40" s="73" t="s">
        <v>108</v>
      </c>
      <c r="AV40" s="73" t="s">
        <v>108</v>
      </c>
      <c r="AX40" s="73" t="s">
        <v>106</v>
      </c>
      <c r="AZ40" s="73" t="s">
        <v>106</v>
      </c>
      <c r="BB40" s="73" t="s">
        <v>106</v>
      </c>
      <c r="BD40" s="73" t="s">
        <v>107</v>
      </c>
      <c r="BE40" s="73" t="s">
        <v>673</v>
      </c>
      <c r="BF40" s="73" t="s">
        <v>106</v>
      </c>
      <c r="BH40" s="73" t="s">
        <v>106</v>
      </c>
      <c r="BJ40" s="73" t="s">
        <v>106</v>
      </c>
      <c r="BL40" s="73" t="s">
        <v>106</v>
      </c>
      <c r="BN40" s="73" t="s">
        <v>108</v>
      </c>
      <c r="BP40" s="73" t="s">
        <v>106</v>
      </c>
      <c r="BR40" s="73" t="s">
        <v>106</v>
      </c>
      <c r="BT40" s="73" t="s">
        <v>107</v>
      </c>
      <c r="BU40" s="73" t="s">
        <v>153</v>
      </c>
      <c r="BV40" s="73" t="s">
        <v>107</v>
      </c>
      <c r="BW40" s="73" t="s">
        <v>674</v>
      </c>
      <c r="BX40" s="73" t="s">
        <v>108</v>
      </c>
      <c r="BZ40" s="73" t="s">
        <v>108</v>
      </c>
      <c r="CB40" s="73" t="s">
        <v>106</v>
      </c>
      <c r="CD40" s="73" t="s">
        <v>106</v>
      </c>
      <c r="CF40" s="73" t="s">
        <v>106</v>
      </c>
      <c r="CH40" s="73" t="s">
        <v>108</v>
      </c>
      <c r="CJ40" s="73" t="s">
        <v>106</v>
      </c>
      <c r="CL40" s="73" t="s">
        <v>107</v>
      </c>
      <c r="CM40" s="73" t="s">
        <v>675</v>
      </c>
      <c r="CN40" s="73" t="s">
        <v>107</v>
      </c>
      <c r="CO40" s="73" t="s">
        <v>676</v>
      </c>
      <c r="CP40" s="73" t="s">
        <v>106</v>
      </c>
      <c r="CR40" s="73" t="s">
        <v>108</v>
      </c>
      <c r="CT40" s="73" t="s">
        <v>108</v>
      </c>
      <c r="CV40" s="73" t="s">
        <v>106</v>
      </c>
      <c r="CW40" s="73" t="s">
        <v>677</v>
      </c>
      <c r="CX40" s="73" t="s">
        <v>678</v>
      </c>
      <c r="CY40" s="73" t="s">
        <v>679</v>
      </c>
      <c r="CZ40" s="73" t="s">
        <v>680</v>
      </c>
      <c r="DA40" s="73" t="s">
        <v>681</v>
      </c>
      <c r="DB40" s="74" t="s">
        <v>682</v>
      </c>
    </row>
    <row r="41" spans="1:106" ht="13.2" x14ac:dyDescent="0.25">
      <c r="A41" s="78">
        <v>45687.392428599538</v>
      </c>
      <c r="B41" s="71" t="s">
        <v>106</v>
      </c>
      <c r="D41" s="71" t="s">
        <v>106</v>
      </c>
      <c r="F41" s="71" t="s">
        <v>106</v>
      </c>
      <c r="H41" s="71" t="s">
        <v>106</v>
      </c>
      <c r="J41" s="71" t="s">
        <v>106</v>
      </c>
      <c r="L41" s="71" t="s">
        <v>106</v>
      </c>
      <c r="N41" s="71" t="s">
        <v>106</v>
      </c>
      <c r="P41" s="71" t="s">
        <v>106</v>
      </c>
      <c r="R41" s="71" t="s">
        <v>106</v>
      </c>
      <c r="T41" s="71" t="s">
        <v>106</v>
      </c>
      <c r="V41" s="71" t="s">
        <v>106</v>
      </c>
      <c r="X41" s="71" t="s">
        <v>106</v>
      </c>
      <c r="Z41" s="71" t="s">
        <v>106</v>
      </c>
      <c r="AB41" s="71" t="s">
        <v>106</v>
      </c>
      <c r="AD41" s="71" t="s">
        <v>106</v>
      </c>
      <c r="AF41" s="71" t="s">
        <v>106</v>
      </c>
      <c r="AH41" s="71" t="s">
        <v>106</v>
      </c>
      <c r="AJ41" s="71" t="s">
        <v>106</v>
      </c>
      <c r="AL41" s="71" t="s">
        <v>106</v>
      </c>
      <c r="AN41" s="71" t="s">
        <v>106</v>
      </c>
      <c r="AP41" s="71" t="s">
        <v>106</v>
      </c>
      <c r="AR41" s="71" t="s">
        <v>106</v>
      </c>
      <c r="AT41" s="71" t="s">
        <v>106</v>
      </c>
      <c r="AV41" s="71" t="s">
        <v>106</v>
      </c>
      <c r="AX41" s="71" t="s">
        <v>106</v>
      </c>
      <c r="AZ41" s="71" t="s">
        <v>106</v>
      </c>
      <c r="BB41" s="71" t="s">
        <v>106</v>
      </c>
      <c r="BD41" s="71" t="s">
        <v>106</v>
      </c>
      <c r="BF41" s="71" t="s">
        <v>106</v>
      </c>
      <c r="BH41" s="71" t="s">
        <v>106</v>
      </c>
      <c r="BJ41" s="71" t="s">
        <v>106</v>
      </c>
      <c r="BL41" s="71" t="s">
        <v>106</v>
      </c>
      <c r="BN41" s="71" t="s">
        <v>106</v>
      </c>
      <c r="BP41" s="71" t="s">
        <v>106</v>
      </c>
      <c r="BR41" s="71" t="s">
        <v>106</v>
      </c>
      <c r="BT41" s="71" t="s">
        <v>109</v>
      </c>
      <c r="BU41" s="71" t="s">
        <v>153</v>
      </c>
      <c r="BV41" s="71" t="s">
        <v>106</v>
      </c>
      <c r="BX41" s="71" t="s">
        <v>106</v>
      </c>
      <c r="BZ41" s="71" t="s">
        <v>106</v>
      </c>
      <c r="CB41" s="71" t="s">
        <v>106</v>
      </c>
      <c r="CD41" s="71" t="s">
        <v>106</v>
      </c>
      <c r="CF41" s="71" t="s">
        <v>106</v>
      </c>
      <c r="CH41" s="71" t="s">
        <v>106</v>
      </c>
      <c r="CJ41" s="71" t="s">
        <v>106</v>
      </c>
      <c r="CL41" s="71" t="s">
        <v>106</v>
      </c>
      <c r="CN41" s="71" t="s">
        <v>106</v>
      </c>
      <c r="CP41" s="71" t="s">
        <v>106</v>
      </c>
      <c r="CR41" s="71" t="s">
        <v>106</v>
      </c>
      <c r="CT41" s="71" t="s">
        <v>106</v>
      </c>
      <c r="CV41" s="71" t="s">
        <v>106</v>
      </c>
      <c r="CW41" s="71" t="s">
        <v>683</v>
      </c>
      <c r="CX41" s="71" t="s">
        <v>684</v>
      </c>
      <c r="CY41" s="71" t="s">
        <v>685</v>
      </c>
      <c r="CZ41" s="71" t="s">
        <v>686</v>
      </c>
      <c r="DA41" s="71" t="s">
        <v>687</v>
      </c>
      <c r="DB41" s="72" t="s">
        <v>688</v>
      </c>
    </row>
    <row r="42" spans="1:106" ht="13.2" x14ac:dyDescent="0.25">
      <c r="A42" s="77">
        <v>45687.393229976849</v>
      </c>
      <c r="B42" s="73" t="s">
        <v>106</v>
      </c>
      <c r="D42" s="73" t="s">
        <v>106</v>
      </c>
      <c r="F42" s="73" t="s">
        <v>106</v>
      </c>
      <c r="H42" s="73" t="s">
        <v>106</v>
      </c>
      <c r="J42" s="73" t="s">
        <v>106</v>
      </c>
      <c r="L42" s="73" t="s">
        <v>106</v>
      </c>
      <c r="N42" s="73" t="s">
        <v>107</v>
      </c>
      <c r="O42" s="73" t="s">
        <v>689</v>
      </c>
      <c r="P42" s="73" t="s">
        <v>107</v>
      </c>
      <c r="Q42" s="73" t="s">
        <v>690</v>
      </c>
      <c r="R42" s="73" t="s">
        <v>106</v>
      </c>
      <c r="T42" s="73" t="s">
        <v>108</v>
      </c>
      <c r="V42" s="73" t="s">
        <v>106</v>
      </c>
      <c r="W42" s="73" t="s">
        <v>691</v>
      </c>
      <c r="X42" s="73" t="s">
        <v>107</v>
      </c>
      <c r="Y42" s="73" t="s">
        <v>692</v>
      </c>
      <c r="Z42" s="73" t="s">
        <v>106</v>
      </c>
      <c r="AB42" s="73" t="s">
        <v>107</v>
      </c>
      <c r="AC42" s="73" t="s">
        <v>693</v>
      </c>
      <c r="AD42" s="73" t="s">
        <v>106</v>
      </c>
      <c r="AF42" s="73" t="s">
        <v>106</v>
      </c>
      <c r="AG42" s="73" t="s">
        <v>694</v>
      </c>
      <c r="AH42" s="73" t="s">
        <v>106</v>
      </c>
      <c r="AJ42" s="73" t="s">
        <v>106</v>
      </c>
      <c r="AL42" s="73" t="s">
        <v>106</v>
      </c>
      <c r="AN42" s="73" t="s">
        <v>106</v>
      </c>
      <c r="AP42" s="73" t="s">
        <v>106</v>
      </c>
      <c r="AR42" s="73" t="s">
        <v>106</v>
      </c>
      <c r="AT42" s="73" t="s">
        <v>106</v>
      </c>
      <c r="AV42" s="73" t="s">
        <v>106</v>
      </c>
      <c r="AX42" s="73" t="s">
        <v>106</v>
      </c>
      <c r="AZ42" s="73" t="s">
        <v>106</v>
      </c>
      <c r="BB42" s="73" t="s">
        <v>106</v>
      </c>
      <c r="BD42" s="73" t="s">
        <v>107</v>
      </c>
      <c r="BF42" s="73" t="s">
        <v>107</v>
      </c>
      <c r="BH42" s="73" t="s">
        <v>107</v>
      </c>
      <c r="BJ42" s="73" t="s">
        <v>106</v>
      </c>
      <c r="BL42" s="73" t="s">
        <v>106</v>
      </c>
      <c r="BN42" s="73" t="s">
        <v>106</v>
      </c>
      <c r="BP42" s="73" t="s">
        <v>106</v>
      </c>
      <c r="BR42" s="73" t="s">
        <v>106</v>
      </c>
      <c r="BT42" s="73" t="s">
        <v>107</v>
      </c>
      <c r="BV42" s="73" t="s">
        <v>106</v>
      </c>
      <c r="BX42" s="73" t="s">
        <v>106</v>
      </c>
      <c r="BZ42" s="73" t="s">
        <v>106</v>
      </c>
      <c r="CB42" s="73" t="s">
        <v>108</v>
      </c>
      <c r="CD42" s="73" t="s">
        <v>107</v>
      </c>
      <c r="CF42" s="73" t="s">
        <v>106</v>
      </c>
      <c r="CH42" s="73" t="s">
        <v>106</v>
      </c>
      <c r="CJ42" s="73" t="s">
        <v>107</v>
      </c>
      <c r="CL42" s="73" t="s">
        <v>106</v>
      </c>
      <c r="CN42" s="73" t="s">
        <v>108</v>
      </c>
      <c r="CP42" s="73" t="s">
        <v>108</v>
      </c>
      <c r="CR42" s="73" t="s">
        <v>106</v>
      </c>
      <c r="CT42" s="73" t="s">
        <v>106</v>
      </c>
      <c r="CV42" s="73" t="s">
        <v>106</v>
      </c>
      <c r="CW42" s="73" t="s">
        <v>129</v>
      </c>
      <c r="CX42" s="73" t="s">
        <v>695</v>
      </c>
      <c r="CY42" s="73" t="s">
        <v>696</v>
      </c>
      <c r="CZ42" s="73" t="s">
        <v>697</v>
      </c>
      <c r="DA42" s="73" t="s">
        <v>698</v>
      </c>
      <c r="DB42" s="74" t="s">
        <v>698</v>
      </c>
    </row>
    <row r="43" spans="1:106" ht="13.2" x14ac:dyDescent="0.25">
      <c r="A43" s="78">
        <v>45687.397952384257</v>
      </c>
      <c r="B43" s="71" t="s">
        <v>106</v>
      </c>
      <c r="D43" s="71" t="s">
        <v>108</v>
      </c>
      <c r="F43" s="71" t="s">
        <v>108</v>
      </c>
      <c r="H43" s="71" t="s">
        <v>108</v>
      </c>
      <c r="J43" s="71" t="s">
        <v>106</v>
      </c>
      <c r="L43" s="71" t="s">
        <v>108</v>
      </c>
      <c r="N43" s="71" t="s">
        <v>108</v>
      </c>
      <c r="P43" s="71" t="s">
        <v>106</v>
      </c>
      <c r="R43" s="71" t="s">
        <v>106</v>
      </c>
      <c r="T43" s="71" t="s">
        <v>106</v>
      </c>
      <c r="V43" s="71" t="s">
        <v>106</v>
      </c>
      <c r="X43" s="71" t="s">
        <v>106</v>
      </c>
      <c r="Z43" s="71" t="s">
        <v>106</v>
      </c>
      <c r="AB43" s="71" t="s">
        <v>106</v>
      </c>
      <c r="AD43" s="71" t="s">
        <v>106</v>
      </c>
      <c r="AF43" s="71" t="s">
        <v>106</v>
      </c>
      <c r="AH43" s="71" t="s">
        <v>106</v>
      </c>
      <c r="AJ43" s="71" t="s">
        <v>106</v>
      </c>
      <c r="AL43" s="71" t="s">
        <v>106</v>
      </c>
      <c r="AN43" s="71" t="s">
        <v>106</v>
      </c>
      <c r="AP43" s="71" t="s">
        <v>106</v>
      </c>
      <c r="AR43" s="71" t="s">
        <v>106</v>
      </c>
      <c r="AT43" s="71" t="s">
        <v>106</v>
      </c>
      <c r="AV43" s="71" t="s">
        <v>106</v>
      </c>
      <c r="AX43" s="71" t="s">
        <v>106</v>
      </c>
      <c r="AZ43" s="71" t="s">
        <v>106</v>
      </c>
      <c r="BB43" s="71" t="s">
        <v>106</v>
      </c>
      <c r="BD43" s="71" t="s">
        <v>106</v>
      </c>
      <c r="BF43" s="71" t="s">
        <v>106</v>
      </c>
      <c r="BH43" s="71" t="s">
        <v>106</v>
      </c>
      <c r="BJ43" s="71" t="s">
        <v>106</v>
      </c>
      <c r="BL43" s="71" t="s">
        <v>106</v>
      </c>
      <c r="BN43" s="71" t="s">
        <v>106</v>
      </c>
      <c r="BP43" s="71" t="s">
        <v>106</v>
      </c>
      <c r="BR43" s="71" t="s">
        <v>106</v>
      </c>
      <c r="BT43" s="71" t="s">
        <v>106</v>
      </c>
      <c r="BV43" s="71" t="s">
        <v>106</v>
      </c>
      <c r="BX43" s="71" t="s">
        <v>106</v>
      </c>
      <c r="BZ43" s="71" t="s">
        <v>106</v>
      </c>
      <c r="CB43" s="71" t="s">
        <v>107</v>
      </c>
      <c r="CD43" s="71" t="s">
        <v>106</v>
      </c>
      <c r="CF43" s="71" t="s">
        <v>106</v>
      </c>
      <c r="CH43" s="71" t="s">
        <v>106</v>
      </c>
      <c r="CJ43" s="71" t="s">
        <v>106</v>
      </c>
      <c r="CL43" s="71" t="s">
        <v>106</v>
      </c>
      <c r="CN43" s="71" t="s">
        <v>109</v>
      </c>
      <c r="CP43" s="71" t="s">
        <v>109</v>
      </c>
      <c r="CR43" s="71" t="s">
        <v>106</v>
      </c>
      <c r="CT43" s="71" t="s">
        <v>106</v>
      </c>
      <c r="CV43" s="71" t="s">
        <v>106</v>
      </c>
      <c r="CW43" s="71" t="s">
        <v>129</v>
      </c>
      <c r="CX43" s="71" t="s">
        <v>695</v>
      </c>
      <c r="CY43" s="71" t="s">
        <v>129</v>
      </c>
      <c r="CZ43" s="71" t="s">
        <v>699</v>
      </c>
      <c r="DA43" s="71" t="s">
        <v>700</v>
      </c>
      <c r="DB43" s="72" t="s">
        <v>700</v>
      </c>
    </row>
    <row r="44" spans="1:106" ht="13.2" x14ac:dyDescent="0.25">
      <c r="A44" s="77">
        <v>45687.405595983801</v>
      </c>
      <c r="B44" s="73" t="s">
        <v>106</v>
      </c>
      <c r="C44" s="73" t="s">
        <v>701</v>
      </c>
      <c r="D44" s="73" t="s">
        <v>106</v>
      </c>
      <c r="E44" s="73" t="s">
        <v>702</v>
      </c>
      <c r="F44" s="73" t="s">
        <v>108</v>
      </c>
      <c r="H44" s="73" t="s">
        <v>108</v>
      </c>
      <c r="J44" s="73" t="s">
        <v>108</v>
      </c>
      <c r="L44" s="73" t="s">
        <v>108</v>
      </c>
      <c r="N44" s="73" t="s">
        <v>108</v>
      </c>
      <c r="P44" s="73" t="s">
        <v>108</v>
      </c>
      <c r="R44" s="73" t="s">
        <v>108</v>
      </c>
      <c r="S44" s="73" t="s">
        <v>703</v>
      </c>
      <c r="T44" s="73" t="s">
        <v>108</v>
      </c>
      <c r="V44" s="73" t="s">
        <v>108</v>
      </c>
      <c r="W44" s="73" t="s">
        <v>704</v>
      </c>
      <c r="X44" s="73" t="s">
        <v>106</v>
      </c>
      <c r="Z44" s="73" t="s">
        <v>108</v>
      </c>
      <c r="AB44" s="73" t="s">
        <v>108</v>
      </c>
      <c r="AD44" s="73" t="s">
        <v>108</v>
      </c>
      <c r="AF44" s="73" t="s">
        <v>108</v>
      </c>
      <c r="AH44" s="73" t="s">
        <v>108</v>
      </c>
      <c r="AJ44" s="73" t="s">
        <v>108</v>
      </c>
      <c r="AK44" s="73" t="s">
        <v>705</v>
      </c>
      <c r="AL44" s="73" t="s">
        <v>108</v>
      </c>
      <c r="AN44" s="73" t="s">
        <v>108</v>
      </c>
      <c r="AP44" s="73" t="s">
        <v>108</v>
      </c>
      <c r="AR44" s="73" t="s">
        <v>108</v>
      </c>
      <c r="AT44" s="73" t="s">
        <v>108</v>
      </c>
      <c r="AV44" s="73" t="s">
        <v>108</v>
      </c>
      <c r="AX44" s="73" t="s">
        <v>108</v>
      </c>
      <c r="AZ44" s="73" t="s">
        <v>108</v>
      </c>
      <c r="BB44" s="73" t="s">
        <v>108</v>
      </c>
      <c r="BD44" s="73" t="s">
        <v>108</v>
      </c>
      <c r="BF44" s="73" t="s">
        <v>107</v>
      </c>
      <c r="BH44" s="73" t="s">
        <v>108</v>
      </c>
      <c r="BJ44" s="73" t="s">
        <v>108</v>
      </c>
      <c r="BL44" s="73" t="s">
        <v>108</v>
      </c>
      <c r="BN44" s="73" t="s">
        <v>108</v>
      </c>
      <c r="BP44" s="73" t="s">
        <v>108</v>
      </c>
      <c r="BQ44" s="73" t="s">
        <v>706</v>
      </c>
      <c r="BR44" s="73" t="s">
        <v>108</v>
      </c>
      <c r="BS44" s="73" t="s">
        <v>707</v>
      </c>
      <c r="BT44" s="73" t="s">
        <v>109</v>
      </c>
      <c r="BU44" s="73" t="s">
        <v>708</v>
      </c>
      <c r="BV44" s="73" t="s">
        <v>106</v>
      </c>
      <c r="BX44" s="73" t="s">
        <v>108</v>
      </c>
      <c r="BZ44" s="73" t="s">
        <v>108</v>
      </c>
      <c r="CB44" s="73" t="s">
        <v>109</v>
      </c>
      <c r="CD44" s="73" t="s">
        <v>108</v>
      </c>
      <c r="CF44" s="73" t="s">
        <v>108</v>
      </c>
      <c r="CH44" s="73" t="s">
        <v>108</v>
      </c>
      <c r="CJ44" s="73" t="s">
        <v>108</v>
      </c>
      <c r="CL44" s="73" t="s">
        <v>108</v>
      </c>
      <c r="CN44" s="73" t="s">
        <v>106</v>
      </c>
      <c r="CO44" s="73" t="s">
        <v>709</v>
      </c>
      <c r="CP44" s="73" t="s">
        <v>107</v>
      </c>
      <c r="CR44" s="73" t="s">
        <v>108</v>
      </c>
      <c r="CS44" s="73" t="s">
        <v>710</v>
      </c>
      <c r="CT44" s="73" t="s">
        <v>108</v>
      </c>
      <c r="CV44" s="73" t="s">
        <v>108</v>
      </c>
      <c r="CW44" s="73" t="s">
        <v>711</v>
      </c>
      <c r="CX44" s="73" t="s">
        <v>712</v>
      </c>
      <c r="CY44" s="73" t="s">
        <v>713</v>
      </c>
      <c r="CZ44" s="73" t="s">
        <v>714</v>
      </c>
      <c r="DA44" s="73" t="s">
        <v>715</v>
      </c>
      <c r="DB44" s="74" t="s">
        <v>716</v>
      </c>
    </row>
    <row r="45" spans="1:106" ht="13.2" x14ac:dyDescent="0.25">
      <c r="A45" s="78">
        <v>45687.407106076389</v>
      </c>
      <c r="B45" s="71" t="s">
        <v>106</v>
      </c>
      <c r="C45" s="71" t="s">
        <v>717</v>
      </c>
      <c r="D45" s="71" t="s">
        <v>106</v>
      </c>
      <c r="F45" s="71" t="s">
        <v>107</v>
      </c>
      <c r="G45" s="71" t="s">
        <v>718</v>
      </c>
      <c r="H45" s="71" t="s">
        <v>106</v>
      </c>
      <c r="J45" s="71" t="s">
        <v>106</v>
      </c>
      <c r="L45" s="71" t="s">
        <v>106</v>
      </c>
      <c r="N45" s="71" t="s">
        <v>106</v>
      </c>
      <c r="P45" s="71" t="s">
        <v>107</v>
      </c>
      <c r="Q45" s="71" t="s">
        <v>719</v>
      </c>
      <c r="R45" s="71" t="s">
        <v>108</v>
      </c>
      <c r="S45" s="71" t="s">
        <v>720</v>
      </c>
      <c r="T45" s="71" t="s">
        <v>106</v>
      </c>
      <c r="V45" s="71" t="s">
        <v>108</v>
      </c>
      <c r="X45" s="71" t="s">
        <v>106</v>
      </c>
      <c r="Z45" s="71" t="s">
        <v>106</v>
      </c>
      <c r="AB45" s="71" t="s">
        <v>109</v>
      </c>
      <c r="AC45" s="71" t="s">
        <v>721</v>
      </c>
      <c r="AD45" s="71" t="s">
        <v>106</v>
      </c>
      <c r="AF45" s="71" t="s">
        <v>106</v>
      </c>
      <c r="AH45" s="71" t="s">
        <v>106</v>
      </c>
      <c r="AJ45" s="71" t="s">
        <v>106</v>
      </c>
      <c r="AL45" s="71" t="s">
        <v>106</v>
      </c>
      <c r="AN45" s="71" t="s">
        <v>106</v>
      </c>
      <c r="AP45" s="71" t="s">
        <v>106</v>
      </c>
      <c r="AR45" s="71" t="s">
        <v>106</v>
      </c>
      <c r="AT45" s="71" t="s">
        <v>107</v>
      </c>
      <c r="AU45" s="71" t="s">
        <v>722</v>
      </c>
      <c r="AV45" s="71" t="s">
        <v>106</v>
      </c>
      <c r="AX45" s="71" t="s">
        <v>106</v>
      </c>
      <c r="AZ45" s="71" t="s">
        <v>106</v>
      </c>
      <c r="BB45" s="71" t="s">
        <v>106</v>
      </c>
      <c r="BD45" s="71" t="s">
        <v>106</v>
      </c>
      <c r="BF45" s="71" t="s">
        <v>106</v>
      </c>
      <c r="BH45" s="71" t="s">
        <v>107</v>
      </c>
      <c r="BJ45" s="71" t="s">
        <v>107</v>
      </c>
      <c r="BK45" s="71" t="s">
        <v>723</v>
      </c>
      <c r="BL45" s="71" t="s">
        <v>106</v>
      </c>
      <c r="BN45" s="71" t="s">
        <v>107</v>
      </c>
      <c r="BP45" s="71" t="s">
        <v>106</v>
      </c>
      <c r="BR45" s="71" t="s">
        <v>106</v>
      </c>
      <c r="BT45" s="71" t="s">
        <v>109</v>
      </c>
      <c r="BV45" s="71" t="s">
        <v>107</v>
      </c>
      <c r="BW45" s="71" t="s">
        <v>724</v>
      </c>
      <c r="BX45" s="71" t="s">
        <v>106</v>
      </c>
      <c r="BZ45" s="71" t="s">
        <v>108</v>
      </c>
      <c r="CB45" s="71" t="s">
        <v>106</v>
      </c>
      <c r="CD45" s="71" t="s">
        <v>108</v>
      </c>
      <c r="CF45" s="71" t="s">
        <v>108</v>
      </c>
      <c r="CH45" s="71" t="s">
        <v>108</v>
      </c>
      <c r="CJ45" s="71" t="s">
        <v>106</v>
      </c>
      <c r="CL45" s="71" t="s">
        <v>106</v>
      </c>
      <c r="CN45" s="71" t="s">
        <v>108</v>
      </c>
      <c r="CP45" s="71" t="s">
        <v>106</v>
      </c>
      <c r="CR45" s="71" t="s">
        <v>106</v>
      </c>
      <c r="CT45" s="71" t="s">
        <v>106</v>
      </c>
      <c r="CV45" s="71" t="s">
        <v>106</v>
      </c>
      <c r="CW45" s="71" t="s">
        <v>725</v>
      </c>
      <c r="CX45" s="71" t="s">
        <v>726</v>
      </c>
      <c r="CY45" s="71" t="s">
        <v>151</v>
      </c>
      <c r="CZ45" s="71" t="s">
        <v>727</v>
      </c>
      <c r="DA45" s="71" t="s">
        <v>728</v>
      </c>
      <c r="DB45" s="72" t="s">
        <v>729</v>
      </c>
    </row>
    <row r="46" spans="1:106" ht="13.2" x14ac:dyDescent="0.25">
      <c r="A46" s="77">
        <v>45687.407466284727</v>
      </c>
      <c r="B46" s="73" t="s">
        <v>107</v>
      </c>
      <c r="D46" s="73" t="s">
        <v>109</v>
      </c>
      <c r="F46" s="73" t="s">
        <v>107</v>
      </c>
      <c r="H46" s="73" t="s">
        <v>106</v>
      </c>
      <c r="J46" s="73" t="s">
        <v>109</v>
      </c>
      <c r="L46" s="73" t="s">
        <v>107</v>
      </c>
      <c r="M46" s="73" t="s">
        <v>730</v>
      </c>
      <c r="N46" s="73" t="s">
        <v>107</v>
      </c>
      <c r="P46" s="73" t="s">
        <v>107</v>
      </c>
      <c r="R46" s="73" t="s">
        <v>106</v>
      </c>
      <c r="T46" s="73" t="s">
        <v>106</v>
      </c>
      <c r="V46" s="73" t="s">
        <v>106</v>
      </c>
      <c r="X46" s="73" t="s">
        <v>107</v>
      </c>
      <c r="Z46" s="73" t="s">
        <v>107</v>
      </c>
      <c r="AA46" s="73" t="s">
        <v>731</v>
      </c>
      <c r="AB46" s="73" t="s">
        <v>109</v>
      </c>
      <c r="AD46" s="73" t="s">
        <v>107</v>
      </c>
      <c r="AE46" s="73" t="s">
        <v>731</v>
      </c>
      <c r="AF46" s="73" t="s">
        <v>107</v>
      </c>
      <c r="AG46" s="73" t="s">
        <v>732</v>
      </c>
      <c r="AH46" s="73" t="s">
        <v>106</v>
      </c>
      <c r="AJ46" s="73" t="s">
        <v>106</v>
      </c>
      <c r="AL46" s="73" t="s">
        <v>107</v>
      </c>
      <c r="AM46" s="73" t="s">
        <v>733</v>
      </c>
      <c r="AN46" s="73" t="s">
        <v>107</v>
      </c>
      <c r="AO46" s="73" t="s">
        <v>733</v>
      </c>
      <c r="AP46" s="73" t="s">
        <v>107</v>
      </c>
      <c r="AQ46" s="73" t="s">
        <v>731</v>
      </c>
      <c r="AR46" s="73" t="s">
        <v>106</v>
      </c>
      <c r="AS46" s="73" t="s">
        <v>734</v>
      </c>
      <c r="AT46" s="73" t="s">
        <v>107</v>
      </c>
      <c r="AU46" s="73" t="s">
        <v>735</v>
      </c>
      <c r="AV46" s="73" t="s">
        <v>107</v>
      </c>
      <c r="AX46" s="73" t="s">
        <v>109</v>
      </c>
      <c r="AY46" s="73" t="s">
        <v>736</v>
      </c>
      <c r="AZ46" s="73" t="s">
        <v>106</v>
      </c>
      <c r="BB46" s="73" t="s">
        <v>107</v>
      </c>
      <c r="BC46" s="73" t="s">
        <v>733</v>
      </c>
      <c r="BD46" s="73" t="s">
        <v>107</v>
      </c>
      <c r="BE46" s="73" t="s">
        <v>737</v>
      </c>
      <c r="BF46" s="73" t="s">
        <v>107</v>
      </c>
      <c r="BG46" s="73" t="s">
        <v>738</v>
      </c>
      <c r="BH46" s="73" t="s">
        <v>107</v>
      </c>
      <c r="BI46" s="73" t="s">
        <v>739</v>
      </c>
      <c r="BJ46" s="73" t="s">
        <v>107</v>
      </c>
      <c r="BL46" s="73" t="s">
        <v>107</v>
      </c>
      <c r="BN46" s="73" t="s">
        <v>107</v>
      </c>
      <c r="BO46" s="73" t="s">
        <v>740</v>
      </c>
      <c r="BP46" s="73" t="s">
        <v>106</v>
      </c>
      <c r="BR46" s="73" t="s">
        <v>106</v>
      </c>
      <c r="BT46" s="73" t="s">
        <v>107</v>
      </c>
      <c r="BV46" s="73" t="s">
        <v>106</v>
      </c>
      <c r="BX46" s="73" t="s">
        <v>106</v>
      </c>
      <c r="BZ46" s="73" t="s">
        <v>107</v>
      </c>
      <c r="CB46" s="73" t="s">
        <v>107</v>
      </c>
      <c r="CD46" s="73" t="s">
        <v>106</v>
      </c>
      <c r="CF46" s="73" t="s">
        <v>106</v>
      </c>
      <c r="CH46" s="73" t="s">
        <v>106</v>
      </c>
      <c r="CJ46" s="73" t="s">
        <v>107</v>
      </c>
      <c r="CL46" s="73" t="s">
        <v>106</v>
      </c>
      <c r="CN46" s="73" t="s">
        <v>106</v>
      </c>
      <c r="CP46" s="73" t="s">
        <v>107</v>
      </c>
      <c r="CR46" s="73" t="s">
        <v>107</v>
      </c>
      <c r="CS46" s="73" t="s">
        <v>733</v>
      </c>
      <c r="CT46" s="73" t="s">
        <v>106</v>
      </c>
      <c r="CV46" s="73" t="s">
        <v>107</v>
      </c>
      <c r="CW46" s="73" t="s">
        <v>741</v>
      </c>
      <c r="CX46" s="73" t="s">
        <v>460</v>
      </c>
      <c r="CY46" s="73" t="s">
        <v>742</v>
      </c>
      <c r="CZ46" s="73" t="s">
        <v>731</v>
      </c>
      <c r="DA46" s="73" t="s">
        <v>743</v>
      </c>
      <c r="DB46" s="74" t="s">
        <v>744</v>
      </c>
    </row>
    <row r="47" spans="1:106" ht="13.2" x14ac:dyDescent="0.25">
      <c r="A47" s="78">
        <v>45687.409932754628</v>
      </c>
      <c r="B47" s="71" t="s">
        <v>106</v>
      </c>
      <c r="C47" s="71" t="s">
        <v>745</v>
      </c>
      <c r="D47" s="71" t="s">
        <v>108</v>
      </c>
      <c r="F47" s="71" t="s">
        <v>108</v>
      </c>
      <c r="H47" s="71" t="s">
        <v>106</v>
      </c>
      <c r="I47" s="71" t="s">
        <v>746</v>
      </c>
      <c r="J47" s="71" t="s">
        <v>106</v>
      </c>
      <c r="K47" s="71" t="s">
        <v>747</v>
      </c>
      <c r="L47" s="71" t="s">
        <v>107</v>
      </c>
      <c r="M47" s="71" t="s">
        <v>748</v>
      </c>
      <c r="N47" s="71" t="s">
        <v>106</v>
      </c>
      <c r="O47" s="71" t="s">
        <v>749</v>
      </c>
      <c r="P47" s="71" t="s">
        <v>106</v>
      </c>
      <c r="Q47" s="71" t="s">
        <v>750</v>
      </c>
      <c r="R47" s="71" t="s">
        <v>108</v>
      </c>
      <c r="S47" s="71" t="s">
        <v>751</v>
      </c>
      <c r="T47" s="71" t="s">
        <v>108</v>
      </c>
      <c r="U47" s="71" t="s">
        <v>752</v>
      </c>
      <c r="V47" s="71" t="s">
        <v>106</v>
      </c>
      <c r="W47" s="71" t="s">
        <v>753</v>
      </c>
      <c r="X47" s="71" t="s">
        <v>106</v>
      </c>
      <c r="Y47" s="71" t="s">
        <v>754</v>
      </c>
      <c r="Z47" s="71" t="s">
        <v>108</v>
      </c>
      <c r="AB47" s="71" t="s">
        <v>107</v>
      </c>
      <c r="AC47" s="71" t="s">
        <v>755</v>
      </c>
      <c r="AD47" s="71" t="s">
        <v>106</v>
      </c>
      <c r="AF47" s="71" t="s">
        <v>106</v>
      </c>
      <c r="AG47" s="71" t="s">
        <v>756</v>
      </c>
      <c r="AH47" s="71" t="s">
        <v>108</v>
      </c>
      <c r="AJ47" s="71" t="s">
        <v>106</v>
      </c>
      <c r="AL47" s="71" t="s">
        <v>108</v>
      </c>
      <c r="AN47" s="71" t="s">
        <v>106</v>
      </c>
      <c r="AP47" s="71" t="s">
        <v>108</v>
      </c>
      <c r="AR47" s="71" t="s">
        <v>108</v>
      </c>
      <c r="AT47" s="71" t="s">
        <v>106</v>
      </c>
      <c r="AU47" s="71" t="s">
        <v>757</v>
      </c>
      <c r="AV47" s="71" t="s">
        <v>106</v>
      </c>
      <c r="AW47" s="71" t="s">
        <v>758</v>
      </c>
      <c r="AX47" s="71" t="s">
        <v>108</v>
      </c>
      <c r="AZ47" s="71" t="s">
        <v>106</v>
      </c>
      <c r="BA47" s="71" t="s">
        <v>759</v>
      </c>
      <c r="BB47" s="71" t="s">
        <v>106</v>
      </c>
      <c r="BC47" s="71" t="s">
        <v>760</v>
      </c>
      <c r="BD47" s="71" t="s">
        <v>106</v>
      </c>
      <c r="BF47" s="71" t="s">
        <v>106</v>
      </c>
      <c r="BG47" s="71" t="s">
        <v>761</v>
      </c>
      <c r="BH47" s="71" t="s">
        <v>107</v>
      </c>
      <c r="BI47" s="71" t="s">
        <v>762</v>
      </c>
      <c r="BJ47" s="71" t="s">
        <v>106</v>
      </c>
      <c r="BL47" s="71" t="s">
        <v>108</v>
      </c>
      <c r="BN47" s="71" t="s">
        <v>106</v>
      </c>
      <c r="BP47" s="71" t="s">
        <v>106</v>
      </c>
      <c r="BR47" s="71" t="s">
        <v>106</v>
      </c>
      <c r="BS47" s="71" t="s">
        <v>763</v>
      </c>
      <c r="BT47" s="71" t="s">
        <v>106</v>
      </c>
      <c r="BU47" s="71" t="s">
        <v>764</v>
      </c>
      <c r="BV47" s="71" t="s">
        <v>108</v>
      </c>
      <c r="BX47" s="71" t="s">
        <v>108</v>
      </c>
      <c r="BZ47" s="71" t="s">
        <v>108</v>
      </c>
      <c r="CA47" s="71" t="s">
        <v>765</v>
      </c>
      <c r="CB47" s="71" t="s">
        <v>106</v>
      </c>
      <c r="CC47" s="71" t="s">
        <v>766</v>
      </c>
      <c r="CD47" s="71" t="s">
        <v>108</v>
      </c>
      <c r="CF47" s="71" t="s">
        <v>108</v>
      </c>
      <c r="CH47" s="71" t="s">
        <v>108</v>
      </c>
      <c r="CJ47" s="71" t="s">
        <v>106</v>
      </c>
      <c r="CK47" s="71" t="s">
        <v>767</v>
      </c>
      <c r="CL47" s="71" t="s">
        <v>108</v>
      </c>
      <c r="CN47" s="71" t="s">
        <v>106</v>
      </c>
      <c r="CO47" s="71" t="s">
        <v>768</v>
      </c>
      <c r="CP47" s="71" t="s">
        <v>107</v>
      </c>
      <c r="CR47" s="71" t="s">
        <v>106</v>
      </c>
      <c r="CS47" s="71" t="s">
        <v>769</v>
      </c>
      <c r="CT47" s="71" t="s">
        <v>106</v>
      </c>
      <c r="CU47" s="71" t="s">
        <v>770</v>
      </c>
      <c r="CV47" s="71" t="s">
        <v>106</v>
      </c>
      <c r="CW47" s="71" t="s">
        <v>771</v>
      </c>
      <c r="CX47" s="71" t="s">
        <v>772</v>
      </c>
      <c r="CY47" s="71" t="s">
        <v>773</v>
      </c>
      <c r="CZ47" s="71" t="s">
        <v>774</v>
      </c>
      <c r="DA47" s="71" t="s">
        <v>775</v>
      </c>
      <c r="DB47" s="72" t="s">
        <v>776</v>
      </c>
    </row>
    <row r="48" spans="1:106" ht="13.2" x14ac:dyDescent="0.25">
      <c r="A48" s="77">
        <v>45687.415377534722</v>
      </c>
      <c r="B48" s="73" t="s">
        <v>108</v>
      </c>
      <c r="D48" s="73" t="s">
        <v>108</v>
      </c>
      <c r="F48" s="73" t="s">
        <v>107</v>
      </c>
      <c r="H48" s="73" t="s">
        <v>108</v>
      </c>
      <c r="J48" s="73" t="s">
        <v>106</v>
      </c>
      <c r="L48" s="73" t="s">
        <v>106</v>
      </c>
      <c r="N48" s="73" t="s">
        <v>109</v>
      </c>
      <c r="P48" s="73" t="s">
        <v>107</v>
      </c>
      <c r="R48" s="73" t="s">
        <v>108</v>
      </c>
      <c r="T48" s="73" t="s">
        <v>108</v>
      </c>
      <c r="V48" s="73" t="s">
        <v>108</v>
      </c>
      <c r="X48" s="73" t="s">
        <v>106</v>
      </c>
      <c r="Z48" s="73" t="s">
        <v>108</v>
      </c>
      <c r="AB48" s="73" t="s">
        <v>109</v>
      </c>
      <c r="AD48" s="73" t="s">
        <v>108</v>
      </c>
      <c r="AF48" s="73" t="s">
        <v>108</v>
      </c>
      <c r="AH48" s="73" t="s">
        <v>108</v>
      </c>
      <c r="AJ48" s="73" t="s">
        <v>106</v>
      </c>
      <c r="AL48" s="73" t="s">
        <v>108</v>
      </c>
      <c r="AN48" s="73" t="s">
        <v>108</v>
      </c>
      <c r="AP48" s="73" t="s">
        <v>106</v>
      </c>
      <c r="AR48" s="73" t="s">
        <v>107</v>
      </c>
      <c r="AT48" s="73" t="s">
        <v>108</v>
      </c>
      <c r="AV48" s="73" t="s">
        <v>106</v>
      </c>
      <c r="AX48" s="73" t="s">
        <v>106</v>
      </c>
      <c r="AZ48" s="73" t="s">
        <v>106</v>
      </c>
      <c r="BB48" s="73" t="s">
        <v>106</v>
      </c>
      <c r="BD48" s="73" t="s">
        <v>109</v>
      </c>
      <c r="BF48" s="73" t="s">
        <v>106</v>
      </c>
      <c r="BH48" s="73" t="s">
        <v>107</v>
      </c>
      <c r="BJ48" s="73" t="s">
        <v>106</v>
      </c>
      <c r="BL48" s="73" t="s">
        <v>106</v>
      </c>
      <c r="BN48" s="73" t="s">
        <v>106</v>
      </c>
      <c r="BP48" s="73" t="s">
        <v>108</v>
      </c>
      <c r="BR48" s="73" t="s">
        <v>108</v>
      </c>
      <c r="BT48" s="73" t="s">
        <v>107</v>
      </c>
      <c r="BV48" s="73" t="s">
        <v>106</v>
      </c>
      <c r="BX48" s="73" t="s">
        <v>106</v>
      </c>
      <c r="BZ48" s="73" t="s">
        <v>107</v>
      </c>
      <c r="CB48" s="73" t="s">
        <v>106</v>
      </c>
      <c r="CD48" s="73" t="s">
        <v>106</v>
      </c>
      <c r="CF48" s="73" t="s">
        <v>108</v>
      </c>
      <c r="CH48" s="73" t="s">
        <v>108</v>
      </c>
      <c r="CJ48" s="73" t="s">
        <v>108</v>
      </c>
      <c r="CL48" s="73" t="s">
        <v>108</v>
      </c>
      <c r="CN48" s="73" t="s">
        <v>108</v>
      </c>
      <c r="CP48" s="73" t="s">
        <v>106</v>
      </c>
      <c r="CR48" s="73" t="s">
        <v>108</v>
      </c>
      <c r="CT48" s="73" t="s">
        <v>106</v>
      </c>
      <c r="CV48" s="73" t="s">
        <v>108</v>
      </c>
      <c r="CX48" s="73" t="s">
        <v>328</v>
      </c>
      <c r="CZ48" s="73" t="s">
        <v>777</v>
      </c>
      <c r="DA48" s="73" t="s">
        <v>778</v>
      </c>
      <c r="DB48" s="74" t="s">
        <v>779</v>
      </c>
    </row>
    <row r="49" spans="1:106" ht="13.2" x14ac:dyDescent="0.25">
      <c r="A49" s="78">
        <v>45687.415671666662</v>
      </c>
      <c r="B49" s="71" t="s">
        <v>106</v>
      </c>
      <c r="C49" s="71" t="s">
        <v>780</v>
      </c>
      <c r="D49" s="71" t="s">
        <v>108</v>
      </c>
      <c r="E49" s="71" t="s">
        <v>781</v>
      </c>
      <c r="F49" s="71" t="s">
        <v>106</v>
      </c>
      <c r="G49" s="71" t="s">
        <v>782</v>
      </c>
      <c r="H49" s="71" t="s">
        <v>108</v>
      </c>
      <c r="I49" s="71" t="s">
        <v>783</v>
      </c>
      <c r="J49" s="71" t="s">
        <v>107</v>
      </c>
      <c r="K49" s="71" t="s">
        <v>784</v>
      </c>
      <c r="L49" s="71" t="s">
        <v>108</v>
      </c>
      <c r="N49" s="71" t="s">
        <v>108</v>
      </c>
      <c r="O49" s="71" t="s">
        <v>785</v>
      </c>
      <c r="P49" s="71" t="s">
        <v>106</v>
      </c>
      <c r="Q49" s="71" t="s">
        <v>786</v>
      </c>
      <c r="R49" s="71" t="s">
        <v>108</v>
      </c>
      <c r="S49" s="71" t="s">
        <v>787</v>
      </c>
      <c r="T49" s="71" t="s">
        <v>108</v>
      </c>
      <c r="U49" s="71" t="s">
        <v>788</v>
      </c>
      <c r="V49" s="71" t="s">
        <v>108</v>
      </c>
      <c r="X49" s="71" t="s">
        <v>108</v>
      </c>
      <c r="Z49" s="71" t="s">
        <v>106</v>
      </c>
      <c r="AB49" s="71" t="s">
        <v>107</v>
      </c>
      <c r="AC49" s="71" t="s">
        <v>789</v>
      </c>
      <c r="AD49" s="71" t="s">
        <v>108</v>
      </c>
      <c r="AE49" s="71" t="s">
        <v>790</v>
      </c>
      <c r="AF49" s="71" t="s">
        <v>106</v>
      </c>
      <c r="AG49" s="71" t="s">
        <v>791</v>
      </c>
      <c r="AH49" s="71" t="s">
        <v>108</v>
      </c>
      <c r="AJ49" s="71" t="s">
        <v>108</v>
      </c>
      <c r="AK49" s="71" t="s">
        <v>792</v>
      </c>
      <c r="AL49" s="71" t="s">
        <v>108</v>
      </c>
      <c r="AN49" s="71" t="s">
        <v>108</v>
      </c>
      <c r="AP49" s="71" t="s">
        <v>108</v>
      </c>
      <c r="AQ49" s="71" t="s">
        <v>793</v>
      </c>
      <c r="AR49" s="71" t="s">
        <v>108</v>
      </c>
      <c r="AT49" s="71" t="s">
        <v>108</v>
      </c>
      <c r="AV49" s="71" t="s">
        <v>108</v>
      </c>
      <c r="AX49" s="71" t="s">
        <v>108</v>
      </c>
      <c r="AZ49" s="71" t="s">
        <v>108</v>
      </c>
      <c r="BB49" s="71" t="s">
        <v>108</v>
      </c>
      <c r="BD49" s="71" t="s">
        <v>108</v>
      </c>
      <c r="BF49" s="71" t="s">
        <v>106</v>
      </c>
      <c r="BG49" s="71" t="s">
        <v>794</v>
      </c>
      <c r="BH49" s="71" t="s">
        <v>108</v>
      </c>
      <c r="BJ49" s="71" t="s">
        <v>108</v>
      </c>
      <c r="BL49" s="71" t="s">
        <v>108</v>
      </c>
      <c r="BN49" s="71" t="s">
        <v>106</v>
      </c>
      <c r="BP49" s="71" t="s">
        <v>108</v>
      </c>
      <c r="BR49" s="71" t="s">
        <v>106</v>
      </c>
      <c r="BT49" s="71" t="s">
        <v>109</v>
      </c>
      <c r="BV49" s="71" t="s">
        <v>106</v>
      </c>
      <c r="BX49" s="71" t="s">
        <v>106</v>
      </c>
      <c r="BZ49" s="71" t="s">
        <v>107</v>
      </c>
      <c r="CA49" s="71" t="s">
        <v>795</v>
      </c>
      <c r="CB49" s="71" t="s">
        <v>107</v>
      </c>
      <c r="CC49" s="71" t="s">
        <v>796</v>
      </c>
      <c r="CD49" s="71" t="s">
        <v>108</v>
      </c>
      <c r="CF49" s="71" t="s">
        <v>108</v>
      </c>
      <c r="CH49" s="71" t="s">
        <v>108</v>
      </c>
      <c r="CJ49" s="71" t="s">
        <v>108</v>
      </c>
      <c r="CL49" s="71" t="s">
        <v>108</v>
      </c>
      <c r="CN49" s="71" t="s">
        <v>106</v>
      </c>
      <c r="CO49" s="71" t="s">
        <v>797</v>
      </c>
      <c r="CP49" s="71" t="s">
        <v>107</v>
      </c>
      <c r="CQ49" s="71" t="s">
        <v>798</v>
      </c>
      <c r="CR49" s="71" t="s">
        <v>108</v>
      </c>
      <c r="CS49" s="71" t="s">
        <v>799</v>
      </c>
      <c r="CT49" s="71" t="s">
        <v>106</v>
      </c>
      <c r="CV49" s="71" t="s">
        <v>108</v>
      </c>
      <c r="CW49" s="71" t="s">
        <v>800</v>
      </c>
      <c r="CX49" s="71" t="s">
        <v>354</v>
      </c>
      <c r="CY49" s="71" t="s">
        <v>801</v>
      </c>
      <c r="CZ49" s="71" t="s">
        <v>802</v>
      </c>
      <c r="DA49" s="71" t="s">
        <v>803</v>
      </c>
      <c r="DB49" s="72" t="s">
        <v>804</v>
      </c>
    </row>
    <row r="50" spans="1:106" ht="13.2" x14ac:dyDescent="0.25">
      <c r="A50" s="77">
        <v>45687.423014699074</v>
      </c>
      <c r="B50" s="73" t="s">
        <v>106</v>
      </c>
      <c r="C50" s="73" t="s">
        <v>805</v>
      </c>
      <c r="D50" s="73" t="s">
        <v>106</v>
      </c>
      <c r="F50" s="73" t="s">
        <v>106</v>
      </c>
      <c r="H50" s="73" t="s">
        <v>106</v>
      </c>
      <c r="J50" s="73" t="s">
        <v>106</v>
      </c>
      <c r="L50" s="73" t="s">
        <v>106</v>
      </c>
      <c r="N50" s="73" t="s">
        <v>106</v>
      </c>
      <c r="P50" s="73" t="s">
        <v>106</v>
      </c>
      <c r="R50" s="73" t="s">
        <v>108</v>
      </c>
      <c r="S50" s="73" t="s">
        <v>806</v>
      </c>
      <c r="T50" s="73" t="s">
        <v>108</v>
      </c>
      <c r="U50" s="73" t="s">
        <v>807</v>
      </c>
      <c r="V50" s="73" t="s">
        <v>106</v>
      </c>
      <c r="X50" s="73" t="s">
        <v>108</v>
      </c>
      <c r="Z50" s="73" t="s">
        <v>106</v>
      </c>
      <c r="AB50" s="73" t="s">
        <v>106</v>
      </c>
      <c r="AD50" s="73" t="s">
        <v>106</v>
      </c>
      <c r="AE50" s="73" t="s">
        <v>808</v>
      </c>
      <c r="AF50" s="73" t="s">
        <v>106</v>
      </c>
      <c r="AG50" s="73" t="s">
        <v>809</v>
      </c>
      <c r="AH50" s="73" t="s">
        <v>106</v>
      </c>
      <c r="AJ50" s="73" t="s">
        <v>106</v>
      </c>
      <c r="AL50" s="73" t="s">
        <v>106</v>
      </c>
      <c r="AN50" s="73" t="s">
        <v>106</v>
      </c>
      <c r="AP50" s="73" t="s">
        <v>106</v>
      </c>
      <c r="AR50" s="73" t="s">
        <v>106</v>
      </c>
      <c r="AT50" s="73" t="s">
        <v>106</v>
      </c>
      <c r="AV50" s="73" t="s">
        <v>106</v>
      </c>
      <c r="AX50" s="73" t="s">
        <v>106</v>
      </c>
      <c r="AZ50" s="73" t="s">
        <v>106</v>
      </c>
      <c r="BB50" s="73" t="s">
        <v>106</v>
      </c>
      <c r="BD50" s="73" t="s">
        <v>106</v>
      </c>
      <c r="BF50" s="73" t="s">
        <v>106</v>
      </c>
      <c r="BH50" s="73" t="s">
        <v>106</v>
      </c>
      <c r="BJ50" s="73" t="s">
        <v>108</v>
      </c>
      <c r="BL50" s="73" t="s">
        <v>106</v>
      </c>
      <c r="BN50" s="73" t="s">
        <v>106</v>
      </c>
      <c r="BP50" s="73" t="s">
        <v>108</v>
      </c>
      <c r="BR50" s="73" t="s">
        <v>106</v>
      </c>
      <c r="BT50" s="73" t="s">
        <v>109</v>
      </c>
      <c r="BV50" s="73" t="s">
        <v>106</v>
      </c>
      <c r="BX50" s="73" t="s">
        <v>108</v>
      </c>
      <c r="BZ50" s="73" t="s">
        <v>108</v>
      </c>
      <c r="CB50" s="73" t="s">
        <v>109</v>
      </c>
      <c r="CD50" s="73" t="s">
        <v>108</v>
      </c>
      <c r="CF50" s="73" t="s">
        <v>106</v>
      </c>
      <c r="CH50" s="73" t="s">
        <v>106</v>
      </c>
      <c r="CJ50" s="73" t="s">
        <v>106</v>
      </c>
      <c r="CL50" s="73" t="s">
        <v>108</v>
      </c>
      <c r="CN50" s="73" t="s">
        <v>107</v>
      </c>
      <c r="CP50" s="73" t="s">
        <v>107</v>
      </c>
      <c r="CR50" s="73" t="s">
        <v>108</v>
      </c>
      <c r="CS50" s="73" t="s">
        <v>810</v>
      </c>
      <c r="CT50" s="73" t="s">
        <v>106</v>
      </c>
      <c r="CV50" s="73" t="s">
        <v>108</v>
      </c>
      <c r="CX50" s="73" t="s">
        <v>811</v>
      </c>
      <c r="CZ50" s="73" t="s">
        <v>812</v>
      </c>
      <c r="DA50" s="73" t="s">
        <v>813</v>
      </c>
      <c r="DB50" s="74" t="s">
        <v>814</v>
      </c>
    </row>
    <row r="51" spans="1:106" ht="13.2" x14ac:dyDescent="0.25">
      <c r="A51" s="78">
        <v>45687.42682739583</v>
      </c>
      <c r="B51" s="71" t="s">
        <v>106</v>
      </c>
      <c r="D51" s="71" t="s">
        <v>106</v>
      </c>
      <c r="F51" s="71" t="s">
        <v>107</v>
      </c>
      <c r="G51" s="71" t="s">
        <v>815</v>
      </c>
      <c r="H51" s="71" t="s">
        <v>106</v>
      </c>
      <c r="J51" s="71" t="s">
        <v>106</v>
      </c>
      <c r="L51" s="71" t="s">
        <v>106</v>
      </c>
      <c r="N51" s="71" t="s">
        <v>108</v>
      </c>
      <c r="P51" s="71" t="s">
        <v>106</v>
      </c>
      <c r="R51" s="71" t="s">
        <v>106</v>
      </c>
      <c r="T51" s="71" t="s">
        <v>108</v>
      </c>
      <c r="V51" s="71" t="s">
        <v>106</v>
      </c>
      <c r="X51" s="71" t="s">
        <v>106</v>
      </c>
      <c r="Z51" s="71" t="s">
        <v>108</v>
      </c>
      <c r="AB51" s="71" t="s">
        <v>108</v>
      </c>
      <c r="AD51" s="71" t="s">
        <v>106</v>
      </c>
      <c r="AF51" s="71" t="s">
        <v>106</v>
      </c>
      <c r="AH51" s="71" t="s">
        <v>106</v>
      </c>
      <c r="AJ51" s="71" t="s">
        <v>108</v>
      </c>
      <c r="AL51" s="71" t="s">
        <v>108</v>
      </c>
      <c r="AN51" s="71" t="s">
        <v>108</v>
      </c>
      <c r="AP51" s="71" t="s">
        <v>108</v>
      </c>
      <c r="AR51" s="71" t="s">
        <v>108</v>
      </c>
      <c r="AT51" s="71" t="s">
        <v>106</v>
      </c>
      <c r="AV51" s="71" t="s">
        <v>108</v>
      </c>
      <c r="AX51" s="71" t="s">
        <v>106</v>
      </c>
      <c r="AZ51" s="71" t="s">
        <v>108</v>
      </c>
      <c r="BB51" s="71" t="s">
        <v>108</v>
      </c>
      <c r="BD51" s="71" t="s">
        <v>106</v>
      </c>
      <c r="BF51" s="71" t="s">
        <v>106</v>
      </c>
      <c r="BH51" s="71" t="s">
        <v>106</v>
      </c>
      <c r="BJ51" s="71" t="s">
        <v>106</v>
      </c>
      <c r="BL51" s="71" t="s">
        <v>108</v>
      </c>
      <c r="BN51" s="71" t="s">
        <v>106</v>
      </c>
      <c r="BP51" s="71" t="s">
        <v>106</v>
      </c>
      <c r="BR51" s="71" t="s">
        <v>106</v>
      </c>
      <c r="BT51" s="71" t="s">
        <v>109</v>
      </c>
      <c r="BV51" s="71" t="s">
        <v>106</v>
      </c>
      <c r="BX51" s="71" t="s">
        <v>106</v>
      </c>
      <c r="BZ51" s="71" t="s">
        <v>107</v>
      </c>
      <c r="CA51" s="71" t="s">
        <v>816</v>
      </c>
      <c r="CB51" s="71" t="s">
        <v>109</v>
      </c>
      <c r="CD51" s="71" t="s">
        <v>106</v>
      </c>
      <c r="CF51" s="71" t="s">
        <v>106</v>
      </c>
      <c r="CH51" s="71" t="s">
        <v>106</v>
      </c>
      <c r="CJ51" s="71" t="s">
        <v>108</v>
      </c>
      <c r="CL51" s="71" t="s">
        <v>106</v>
      </c>
      <c r="CN51" s="71" t="s">
        <v>108</v>
      </c>
      <c r="CO51" s="71" t="s">
        <v>817</v>
      </c>
      <c r="CP51" s="71" t="s">
        <v>109</v>
      </c>
      <c r="CR51" s="71" t="s">
        <v>106</v>
      </c>
      <c r="CT51" s="71" t="s">
        <v>108</v>
      </c>
      <c r="CV51" s="71" t="s">
        <v>106</v>
      </c>
      <c r="CX51" s="71" t="s">
        <v>818</v>
      </c>
      <c r="CZ51" s="71" t="s">
        <v>819</v>
      </c>
      <c r="DA51" s="71" t="s">
        <v>820</v>
      </c>
      <c r="DB51" s="72" t="s">
        <v>821</v>
      </c>
    </row>
    <row r="52" spans="1:106" ht="13.2" x14ac:dyDescent="0.25">
      <c r="A52" s="77">
        <v>45687.433983703704</v>
      </c>
      <c r="B52" s="73" t="s">
        <v>108</v>
      </c>
      <c r="D52" s="73" t="s">
        <v>108</v>
      </c>
      <c r="F52" s="73" t="s">
        <v>106</v>
      </c>
      <c r="H52" s="73" t="s">
        <v>108</v>
      </c>
      <c r="J52" s="73" t="s">
        <v>106</v>
      </c>
      <c r="L52" s="73" t="s">
        <v>107</v>
      </c>
      <c r="M52" s="73" t="s">
        <v>822</v>
      </c>
      <c r="N52" s="73" t="s">
        <v>107</v>
      </c>
      <c r="O52" s="73" t="s">
        <v>823</v>
      </c>
      <c r="P52" s="73" t="s">
        <v>107</v>
      </c>
      <c r="Q52" s="73" t="s">
        <v>824</v>
      </c>
      <c r="R52" s="73" t="s">
        <v>106</v>
      </c>
      <c r="T52" s="73" t="s">
        <v>108</v>
      </c>
      <c r="V52" s="73" t="s">
        <v>106</v>
      </c>
      <c r="X52" s="73" t="s">
        <v>106</v>
      </c>
      <c r="Z52" s="73" t="s">
        <v>108</v>
      </c>
      <c r="AB52" s="73" t="s">
        <v>106</v>
      </c>
      <c r="AD52" s="73" t="s">
        <v>106</v>
      </c>
      <c r="AF52" s="73" t="s">
        <v>106</v>
      </c>
      <c r="AG52" s="73" t="s">
        <v>825</v>
      </c>
      <c r="AH52" s="73" t="s">
        <v>108</v>
      </c>
      <c r="AJ52" s="73" t="s">
        <v>106</v>
      </c>
      <c r="AL52" s="73" t="s">
        <v>108</v>
      </c>
      <c r="AN52" s="73" t="s">
        <v>108</v>
      </c>
      <c r="AP52" s="73" t="s">
        <v>106</v>
      </c>
      <c r="AQ52" s="73" t="s">
        <v>826</v>
      </c>
      <c r="AR52" s="73" t="s">
        <v>108</v>
      </c>
      <c r="AT52" s="73" t="s">
        <v>106</v>
      </c>
      <c r="AU52" s="73" t="s">
        <v>827</v>
      </c>
      <c r="AV52" s="73" t="s">
        <v>106</v>
      </c>
      <c r="AX52" s="73" t="s">
        <v>108</v>
      </c>
      <c r="AZ52" s="73" t="s">
        <v>106</v>
      </c>
      <c r="BB52" s="73" t="s">
        <v>106</v>
      </c>
      <c r="BD52" s="73" t="s">
        <v>108</v>
      </c>
      <c r="BF52" s="73" t="s">
        <v>107</v>
      </c>
      <c r="BH52" s="73" t="s">
        <v>107</v>
      </c>
      <c r="BI52" s="73" t="s">
        <v>828</v>
      </c>
      <c r="BJ52" s="73" t="s">
        <v>108</v>
      </c>
      <c r="BL52" s="73" t="s">
        <v>108</v>
      </c>
      <c r="BN52" s="73" t="s">
        <v>106</v>
      </c>
      <c r="BP52" s="73" t="s">
        <v>108</v>
      </c>
      <c r="BR52" s="73" t="s">
        <v>108</v>
      </c>
      <c r="BT52" s="73" t="s">
        <v>109</v>
      </c>
      <c r="BV52" s="73" t="s">
        <v>106</v>
      </c>
      <c r="BW52" s="73" t="s">
        <v>829</v>
      </c>
      <c r="BX52" s="73" t="s">
        <v>106</v>
      </c>
      <c r="BZ52" s="73" t="s">
        <v>109</v>
      </c>
      <c r="CA52" s="73" t="s">
        <v>830</v>
      </c>
      <c r="CB52" s="73" t="s">
        <v>107</v>
      </c>
      <c r="CC52" s="73" t="s">
        <v>831</v>
      </c>
      <c r="CD52" s="73" t="s">
        <v>108</v>
      </c>
      <c r="CF52" s="73" t="s">
        <v>108</v>
      </c>
      <c r="CH52" s="73" t="s">
        <v>108</v>
      </c>
      <c r="CJ52" s="73" t="s">
        <v>107</v>
      </c>
      <c r="CK52" s="73" t="s">
        <v>832</v>
      </c>
      <c r="CL52" s="73" t="s">
        <v>108</v>
      </c>
      <c r="CN52" s="73" t="s">
        <v>108</v>
      </c>
      <c r="CP52" s="73" t="s">
        <v>106</v>
      </c>
      <c r="CR52" s="73" t="s">
        <v>106</v>
      </c>
      <c r="CT52" s="73" t="s">
        <v>106</v>
      </c>
      <c r="CV52" s="73" t="s">
        <v>108</v>
      </c>
      <c r="CX52" s="73" t="s">
        <v>833</v>
      </c>
      <c r="CY52" s="73" t="s">
        <v>834</v>
      </c>
      <c r="CZ52" s="73" t="s">
        <v>835</v>
      </c>
      <c r="DA52" s="73" t="s">
        <v>836</v>
      </c>
      <c r="DB52" s="74" t="s">
        <v>837</v>
      </c>
    </row>
    <row r="53" spans="1:106" ht="13.2" x14ac:dyDescent="0.25">
      <c r="A53" s="78">
        <v>45687.437183530092</v>
      </c>
      <c r="B53" s="71" t="s">
        <v>106</v>
      </c>
      <c r="D53" s="71" t="s">
        <v>106</v>
      </c>
      <c r="F53" s="71" t="s">
        <v>108</v>
      </c>
      <c r="H53" s="71" t="s">
        <v>106</v>
      </c>
      <c r="J53" s="71" t="s">
        <v>108</v>
      </c>
      <c r="K53" s="71" t="s">
        <v>838</v>
      </c>
      <c r="L53" s="71" t="s">
        <v>106</v>
      </c>
      <c r="N53" s="71" t="s">
        <v>106</v>
      </c>
      <c r="P53" s="71" t="s">
        <v>108</v>
      </c>
      <c r="R53" s="71" t="s">
        <v>108</v>
      </c>
      <c r="T53" s="71" t="s">
        <v>108</v>
      </c>
      <c r="U53" s="71" t="s">
        <v>839</v>
      </c>
      <c r="V53" s="71" t="s">
        <v>106</v>
      </c>
      <c r="X53" s="71" t="s">
        <v>106</v>
      </c>
      <c r="Z53" s="71" t="s">
        <v>106</v>
      </c>
      <c r="AB53" s="71" t="s">
        <v>106</v>
      </c>
      <c r="AD53" s="71" t="s">
        <v>107</v>
      </c>
      <c r="AF53" s="71" t="s">
        <v>106</v>
      </c>
      <c r="AH53" s="71" t="s">
        <v>108</v>
      </c>
      <c r="AJ53" s="71" t="s">
        <v>108</v>
      </c>
      <c r="AL53" s="71" t="s">
        <v>108</v>
      </c>
      <c r="AN53" s="71" t="s">
        <v>108</v>
      </c>
      <c r="AP53" s="71" t="s">
        <v>108</v>
      </c>
      <c r="AR53" s="71" t="s">
        <v>108</v>
      </c>
      <c r="AT53" s="71" t="s">
        <v>108</v>
      </c>
      <c r="AV53" s="71" t="s">
        <v>108</v>
      </c>
      <c r="AX53" s="71" t="s">
        <v>108</v>
      </c>
      <c r="AZ53" s="71" t="s">
        <v>108</v>
      </c>
      <c r="BB53" s="71" t="s">
        <v>108</v>
      </c>
      <c r="BD53" s="71" t="s">
        <v>108</v>
      </c>
      <c r="BF53" s="71" t="s">
        <v>108</v>
      </c>
      <c r="BH53" s="71" t="s">
        <v>108</v>
      </c>
      <c r="BJ53" s="71" t="s">
        <v>108</v>
      </c>
      <c r="BL53" s="71" t="s">
        <v>108</v>
      </c>
      <c r="BN53" s="71" t="s">
        <v>108</v>
      </c>
      <c r="BP53" s="71" t="s">
        <v>108</v>
      </c>
      <c r="BR53" s="71" t="s">
        <v>108</v>
      </c>
      <c r="BT53" s="71" t="s">
        <v>109</v>
      </c>
      <c r="BV53" s="71" t="s">
        <v>106</v>
      </c>
      <c r="BX53" s="71" t="s">
        <v>106</v>
      </c>
      <c r="BZ53" s="71" t="s">
        <v>107</v>
      </c>
      <c r="CB53" s="71" t="s">
        <v>107</v>
      </c>
      <c r="CD53" s="71" t="s">
        <v>106</v>
      </c>
      <c r="CF53" s="71" t="s">
        <v>106</v>
      </c>
      <c r="CH53" s="71" t="s">
        <v>106</v>
      </c>
      <c r="CJ53" s="71" t="s">
        <v>106</v>
      </c>
      <c r="CL53" s="71" t="s">
        <v>106</v>
      </c>
      <c r="CN53" s="71" t="s">
        <v>106</v>
      </c>
      <c r="CP53" s="71" t="s">
        <v>106</v>
      </c>
      <c r="CQ53" s="71" t="s">
        <v>840</v>
      </c>
      <c r="CR53" s="71" t="s">
        <v>108</v>
      </c>
      <c r="CT53" s="71" t="s">
        <v>106</v>
      </c>
      <c r="CV53" s="71" t="s">
        <v>106</v>
      </c>
      <c r="CX53" s="71" t="s">
        <v>841</v>
      </c>
      <c r="CZ53" s="71" t="s">
        <v>842</v>
      </c>
      <c r="DA53" s="71" t="s">
        <v>843</v>
      </c>
      <c r="DB53" s="72" t="s">
        <v>844</v>
      </c>
    </row>
    <row r="54" spans="1:106" ht="13.2" x14ac:dyDescent="0.25">
      <c r="A54" s="77">
        <v>45687.443047256944</v>
      </c>
      <c r="B54" s="73" t="s">
        <v>106</v>
      </c>
      <c r="D54" s="73" t="s">
        <v>108</v>
      </c>
      <c r="F54" s="73" t="s">
        <v>106</v>
      </c>
      <c r="H54" s="73" t="s">
        <v>106</v>
      </c>
      <c r="J54" s="73" t="s">
        <v>106</v>
      </c>
      <c r="L54" s="73" t="s">
        <v>106</v>
      </c>
      <c r="N54" s="73" t="s">
        <v>107</v>
      </c>
      <c r="P54" s="73" t="s">
        <v>107</v>
      </c>
      <c r="R54" s="73" t="s">
        <v>106</v>
      </c>
      <c r="T54" s="73" t="s">
        <v>106</v>
      </c>
      <c r="V54" s="73" t="s">
        <v>106</v>
      </c>
      <c r="X54" s="73" t="s">
        <v>106</v>
      </c>
      <c r="Z54" s="73" t="s">
        <v>108</v>
      </c>
      <c r="AB54" s="73" t="s">
        <v>107</v>
      </c>
      <c r="AD54" s="73" t="s">
        <v>106</v>
      </c>
      <c r="AF54" s="73" t="s">
        <v>107</v>
      </c>
      <c r="AH54" s="73" t="s">
        <v>108</v>
      </c>
      <c r="AJ54" s="73" t="s">
        <v>106</v>
      </c>
      <c r="AL54" s="73" t="s">
        <v>108</v>
      </c>
      <c r="AN54" s="73" t="s">
        <v>108</v>
      </c>
      <c r="AP54" s="73" t="s">
        <v>108</v>
      </c>
      <c r="AR54" s="73" t="s">
        <v>108</v>
      </c>
      <c r="AT54" s="73" t="s">
        <v>106</v>
      </c>
      <c r="AV54" s="73" t="s">
        <v>108</v>
      </c>
      <c r="AX54" s="73" t="s">
        <v>108</v>
      </c>
      <c r="AZ54" s="73" t="s">
        <v>108</v>
      </c>
      <c r="BB54" s="73" t="s">
        <v>108</v>
      </c>
      <c r="BD54" s="73" t="s">
        <v>106</v>
      </c>
      <c r="BF54" s="73" t="s">
        <v>106</v>
      </c>
      <c r="BH54" s="73" t="s">
        <v>106</v>
      </c>
      <c r="BJ54" s="73" t="s">
        <v>106</v>
      </c>
      <c r="BL54" s="73" t="s">
        <v>106</v>
      </c>
      <c r="BN54" s="73" t="s">
        <v>106</v>
      </c>
      <c r="BP54" s="73" t="s">
        <v>108</v>
      </c>
      <c r="BR54" s="73" t="s">
        <v>108</v>
      </c>
      <c r="BT54" s="73" t="s">
        <v>109</v>
      </c>
      <c r="BV54" s="73" t="s">
        <v>107</v>
      </c>
      <c r="BX54" s="73" t="s">
        <v>107</v>
      </c>
      <c r="BZ54" s="73" t="s">
        <v>107</v>
      </c>
      <c r="CB54" s="73" t="s">
        <v>107</v>
      </c>
      <c r="CD54" s="73" t="s">
        <v>106</v>
      </c>
      <c r="CF54" s="73" t="s">
        <v>107</v>
      </c>
      <c r="CH54" s="73" t="s">
        <v>106</v>
      </c>
      <c r="CJ54" s="73" t="s">
        <v>106</v>
      </c>
      <c r="CL54" s="73" t="s">
        <v>106</v>
      </c>
      <c r="CN54" s="73" t="s">
        <v>108</v>
      </c>
      <c r="CP54" s="73" t="s">
        <v>106</v>
      </c>
      <c r="CR54" s="73" t="s">
        <v>107</v>
      </c>
      <c r="CT54" s="73" t="s">
        <v>107</v>
      </c>
      <c r="CV54" s="73" t="s">
        <v>107</v>
      </c>
      <c r="CX54" s="73" t="s">
        <v>845</v>
      </c>
      <c r="CZ54" s="73" t="s">
        <v>846</v>
      </c>
      <c r="DA54" s="73" t="s">
        <v>847</v>
      </c>
      <c r="DB54" s="74" t="s">
        <v>848</v>
      </c>
    </row>
    <row r="55" spans="1:106" ht="13.2" x14ac:dyDescent="0.25">
      <c r="A55" s="78">
        <v>45687.448988263888</v>
      </c>
      <c r="B55" s="71" t="s">
        <v>106</v>
      </c>
      <c r="C55" s="71" t="s">
        <v>849</v>
      </c>
      <c r="D55" s="71" t="s">
        <v>107</v>
      </c>
      <c r="E55" s="71" t="s">
        <v>850</v>
      </c>
      <c r="F55" s="71" t="s">
        <v>109</v>
      </c>
      <c r="G55" s="71" t="s">
        <v>851</v>
      </c>
      <c r="H55" s="71" t="s">
        <v>108</v>
      </c>
      <c r="J55" s="71" t="s">
        <v>106</v>
      </c>
      <c r="K55" s="71" t="s">
        <v>852</v>
      </c>
      <c r="L55" s="71" t="s">
        <v>106</v>
      </c>
      <c r="N55" s="71" t="s">
        <v>106</v>
      </c>
      <c r="O55" s="71" t="s">
        <v>853</v>
      </c>
      <c r="P55" s="71" t="s">
        <v>109</v>
      </c>
      <c r="Q55" s="71" t="s">
        <v>854</v>
      </c>
      <c r="R55" s="71" t="s">
        <v>108</v>
      </c>
      <c r="T55" s="71" t="s">
        <v>108</v>
      </c>
      <c r="V55" s="71" t="s">
        <v>106</v>
      </c>
      <c r="X55" s="71" t="s">
        <v>106</v>
      </c>
      <c r="Z55" s="71" t="s">
        <v>108</v>
      </c>
      <c r="AB55" s="71" t="s">
        <v>107</v>
      </c>
      <c r="AC55" s="71" t="s">
        <v>855</v>
      </c>
      <c r="AD55" s="71" t="s">
        <v>108</v>
      </c>
      <c r="AF55" s="71" t="s">
        <v>107</v>
      </c>
      <c r="AG55" s="71" t="s">
        <v>856</v>
      </c>
      <c r="AH55" s="71" t="s">
        <v>108</v>
      </c>
      <c r="AJ55" s="71" t="s">
        <v>106</v>
      </c>
      <c r="AL55" s="71" t="s">
        <v>108</v>
      </c>
      <c r="AN55" s="71" t="s">
        <v>106</v>
      </c>
      <c r="AP55" s="71" t="s">
        <v>107</v>
      </c>
      <c r="AQ55" s="71" t="s">
        <v>857</v>
      </c>
      <c r="AR55" s="71" t="s">
        <v>108</v>
      </c>
      <c r="AT55" s="71" t="s">
        <v>108</v>
      </c>
      <c r="AV55" s="71" t="s">
        <v>106</v>
      </c>
      <c r="AX55" s="71" t="s">
        <v>107</v>
      </c>
      <c r="AY55" s="71" t="s">
        <v>858</v>
      </c>
      <c r="AZ55" s="71" t="s">
        <v>108</v>
      </c>
      <c r="BB55" s="71" t="s">
        <v>108</v>
      </c>
      <c r="BD55" s="71" t="s">
        <v>107</v>
      </c>
      <c r="BE55" s="71" t="s">
        <v>859</v>
      </c>
      <c r="BF55" s="71" t="s">
        <v>106</v>
      </c>
      <c r="BH55" s="71" t="s">
        <v>107</v>
      </c>
      <c r="BI55" s="71" t="s">
        <v>860</v>
      </c>
      <c r="BJ55" s="71" t="s">
        <v>107</v>
      </c>
      <c r="BK55" s="71" t="s">
        <v>861</v>
      </c>
      <c r="BL55" s="71" t="s">
        <v>106</v>
      </c>
      <c r="BN55" s="71" t="s">
        <v>106</v>
      </c>
      <c r="BP55" s="71" t="s">
        <v>106</v>
      </c>
      <c r="BR55" s="71" t="s">
        <v>106</v>
      </c>
      <c r="BT55" s="71" t="s">
        <v>106</v>
      </c>
      <c r="BU55" s="71" t="s">
        <v>862</v>
      </c>
      <c r="BV55" s="71" t="s">
        <v>106</v>
      </c>
      <c r="BX55" s="71" t="s">
        <v>106</v>
      </c>
      <c r="BZ55" s="71" t="s">
        <v>106</v>
      </c>
      <c r="CB55" s="71" t="s">
        <v>108</v>
      </c>
      <c r="CC55" s="71" t="s">
        <v>863</v>
      </c>
      <c r="CD55" s="71" t="s">
        <v>106</v>
      </c>
      <c r="CF55" s="71" t="s">
        <v>106</v>
      </c>
      <c r="CH55" s="71" t="s">
        <v>106</v>
      </c>
      <c r="CJ55" s="71" t="s">
        <v>107</v>
      </c>
      <c r="CK55" s="71" t="s">
        <v>864</v>
      </c>
      <c r="CL55" s="71" t="s">
        <v>106</v>
      </c>
      <c r="CN55" s="71" t="s">
        <v>108</v>
      </c>
      <c r="CP55" s="71" t="s">
        <v>107</v>
      </c>
      <c r="CQ55" s="71" t="s">
        <v>865</v>
      </c>
      <c r="CR55" s="71" t="s">
        <v>106</v>
      </c>
      <c r="CT55" s="71" t="s">
        <v>106</v>
      </c>
      <c r="CV55" s="71" t="s">
        <v>106</v>
      </c>
      <c r="CX55" s="71" t="s">
        <v>866</v>
      </c>
      <c r="CZ55" s="71" t="s">
        <v>867</v>
      </c>
      <c r="DA55" s="71" t="s">
        <v>868</v>
      </c>
      <c r="DB55" s="72" t="s">
        <v>869</v>
      </c>
    </row>
    <row r="56" spans="1:106" ht="13.2" x14ac:dyDescent="0.25">
      <c r="A56" s="77">
        <v>45687.45521064815</v>
      </c>
      <c r="B56" s="73" t="s">
        <v>107</v>
      </c>
      <c r="C56" s="73" t="s">
        <v>870</v>
      </c>
      <c r="D56" s="73" t="s">
        <v>107</v>
      </c>
      <c r="E56" s="73" t="s">
        <v>871</v>
      </c>
      <c r="F56" s="73" t="s">
        <v>106</v>
      </c>
      <c r="G56" s="73" t="s">
        <v>129</v>
      </c>
      <c r="H56" s="73" t="s">
        <v>107</v>
      </c>
      <c r="I56" s="73" t="s">
        <v>872</v>
      </c>
      <c r="J56" s="73" t="s">
        <v>107</v>
      </c>
      <c r="K56" s="73" t="s">
        <v>873</v>
      </c>
      <c r="L56" s="73" t="s">
        <v>107</v>
      </c>
      <c r="M56" s="73" t="s">
        <v>874</v>
      </c>
      <c r="N56" s="73" t="s">
        <v>107</v>
      </c>
      <c r="O56" s="73" t="s">
        <v>875</v>
      </c>
      <c r="P56" s="73" t="s">
        <v>109</v>
      </c>
      <c r="Q56" s="73" t="s">
        <v>876</v>
      </c>
      <c r="R56" s="73" t="s">
        <v>106</v>
      </c>
      <c r="T56" s="73" t="s">
        <v>108</v>
      </c>
      <c r="V56" s="73" t="s">
        <v>106</v>
      </c>
      <c r="X56" s="73" t="s">
        <v>106</v>
      </c>
      <c r="Z56" s="73" t="s">
        <v>107</v>
      </c>
      <c r="AA56" s="73" t="s">
        <v>877</v>
      </c>
      <c r="AB56" s="73" t="s">
        <v>107</v>
      </c>
      <c r="AC56" s="73" t="s">
        <v>878</v>
      </c>
      <c r="AD56" s="73" t="s">
        <v>107</v>
      </c>
      <c r="AE56" s="73" t="s">
        <v>879</v>
      </c>
      <c r="AF56" s="73" t="s">
        <v>107</v>
      </c>
      <c r="AH56" s="73" t="s">
        <v>108</v>
      </c>
      <c r="AJ56" s="73" t="s">
        <v>108</v>
      </c>
      <c r="AL56" s="73" t="s">
        <v>108</v>
      </c>
      <c r="AN56" s="73" t="s">
        <v>108</v>
      </c>
      <c r="AP56" s="73" t="s">
        <v>108</v>
      </c>
      <c r="AR56" s="73" t="s">
        <v>108</v>
      </c>
      <c r="AT56" s="73" t="s">
        <v>108</v>
      </c>
      <c r="AV56" s="73" t="s">
        <v>108</v>
      </c>
      <c r="AX56" s="73" t="s">
        <v>108</v>
      </c>
      <c r="AZ56" s="73" t="s">
        <v>108</v>
      </c>
      <c r="BB56" s="73" t="s">
        <v>107</v>
      </c>
      <c r="BC56" s="73" t="s">
        <v>880</v>
      </c>
      <c r="BD56" s="73" t="s">
        <v>106</v>
      </c>
      <c r="BF56" s="73" t="s">
        <v>106</v>
      </c>
      <c r="BH56" s="73" t="s">
        <v>108</v>
      </c>
      <c r="BJ56" s="73" t="s">
        <v>108</v>
      </c>
      <c r="BL56" s="73" t="s">
        <v>108</v>
      </c>
      <c r="BN56" s="73" t="s">
        <v>108</v>
      </c>
      <c r="BP56" s="73" t="s">
        <v>108</v>
      </c>
      <c r="BR56" s="73" t="s">
        <v>106</v>
      </c>
      <c r="BT56" s="73" t="s">
        <v>106</v>
      </c>
      <c r="BU56" s="73" t="s">
        <v>881</v>
      </c>
      <c r="BV56" s="73" t="s">
        <v>109</v>
      </c>
      <c r="BW56" s="73" t="s">
        <v>882</v>
      </c>
      <c r="BX56" s="73" t="s">
        <v>106</v>
      </c>
      <c r="BZ56" s="73" t="s">
        <v>109</v>
      </c>
      <c r="CA56" s="73" t="s">
        <v>883</v>
      </c>
      <c r="CB56" s="73" t="s">
        <v>108</v>
      </c>
      <c r="CC56" s="73" t="s">
        <v>884</v>
      </c>
      <c r="CD56" s="73" t="s">
        <v>108</v>
      </c>
      <c r="CF56" s="73" t="s">
        <v>108</v>
      </c>
      <c r="CH56" s="73" t="s">
        <v>106</v>
      </c>
      <c r="CJ56" s="73" t="s">
        <v>106</v>
      </c>
      <c r="CL56" s="73" t="s">
        <v>106</v>
      </c>
      <c r="CN56" s="73" t="s">
        <v>108</v>
      </c>
      <c r="CP56" s="73" t="s">
        <v>108</v>
      </c>
      <c r="CR56" s="73" t="s">
        <v>106</v>
      </c>
      <c r="CT56" s="73" t="s">
        <v>109</v>
      </c>
      <c r="CU56" s="73" t="s">
        <v>885</v>
      </c>
      <c r="CV56" s="73" t="s">
        <v>106</v>
      </c>
      <c r="CX56" s="73" t="s">
        <v>886</v>
      </c>
      <c r="CZ56" s="73" t="s">
        <v>887</v>
      </c>
      <c r="DA56" s="73" t="s">
        <v>888</v>
      </c>
      <c r="DB56" s="74" t="s">
        <v>129</v>
      </c>
    </row>
    <row r="57" spans="1:106" ht="13.2" x14ac:dyDescent="0.25">
      <c r="A57" s="78">
        <v>45687.465384884257</v>
      </c>
      <c r="B57" s="71" t="s">
        <v>107</v>
      </c>
      <c r="C57" s="71" t="s">
        <v>889</v>
      </c>
      <c r="D57" s="71" t="s">
        <v>106</v>
      </c>
      <c r="F57" s="71" t="s">
        <v>106</v>
      </c>
      <c r="H57" s="71" t="s">
        <v>106</v>
      </c>
      <c r="J57" s="71" t="s">
        <v>106</v>
      </c>
      <c r="L57" s="71" t="s">
        <v>107</v>
      </c>
      <c r="M57" s="71" t="s">
        <v>890</v>
      </c>
      <c r="N57" s="71" t="s">
        <v>106</v>
      </c>
      <c r="P57" s="71" t="s">
        <v>107</v>
      </c>
      <c r="Q57" s="71" t="s">
        <v>891</v>
      </c>
      <c r="R57" s="71" t="s">
        <v>106</v>
      </c>
      <c r="S57" s="71" t="s">
        <v>892</v>
      </c>
      <c r="T57" s="71" t="s">
        <v>106</v>
      </c>
      <c r="V57" s="71" t="s">
        <v>106</v>
      </c>
      <c r="X57" s="71" t="s">
        <v>107</v>
      </c>
      <c r="Y57" s="71" t="s">
        <v>893</v>
      </c>
      <c r="Z57" s="71" t="s">
        <v>106</v>
      </c>
      <c r="AB57" s="71" t="s">
        <v>106</v>
      </c>
      <c r="AD57" s="71" t="s">
        <v>106</v>
      </c>
      <c r="AF57" s="71" t="s">
        <v>106</v>
      </c>
      <c r="AH57" s="71" t="s">
        <v>106</v>
      </c>
      <c r="AJ57" s="71" t="s">
        <v>106</v>
      </c>
      <c r="AL57" s="71" t="s">
        <v>106</v>
      </c>
      <c r="AN57" s="71" t="s">
        <v>106</v>
      </c>
      <c r="AP57" s="71" t="s">
        <v>106</v>
      </c>
      <c r="AR57" s="71" t="s">
        <v>106</v>
      </c>
      <c r="AT57" s="71" t="s">
        <v>106</v>
      </c>
      <c r="AV57" s="71" t="s">
        <v>106</v>
      </c>
      <c r="AX57" s="71" t="s">
        <v>106</v>
      </c>
      <c r="AZ57" s="71" t="s">
        <v>106</v>
      </c>
      <c r="BB57" s="71" t="s">
        <v>107</v>
      </c>
      <c r="BC57" s="71" t="s">
        <v>894</v>
      </c>
      <c r="BD57" s="71" t="s">
        <v>106</v>
      </c>
      <c r="BF57" s="71" t="s">
        <v>107</v>
      </c>
      <c r="BG57" s="71" t="s">
        <v>895</v>
      </c>
      <c r="BH57" s="71" t="s">
        <v>106</v>
      </c>
      <c r="BJ57" s="71" t="s">
        <v>106</v>
      </c>
      <c r="BL57" s="71" t="s">
        <v>106</v>
      </c>
      <c r="BN57" s="71" t="s">
        <v>106</v>
      </c>
      <c r="BP57" s="71" t="s">
        <v>106</v>
      </c>
      <c r="BR57" s="71" t="s">
        <v>106</v>
      </c>
      <c r="BT57" s="71" t="s">
        <v>109</v>
      </c>
      <c r="BU57" s="71" t="s">
        <v>896</v>
      </c>
      <c r="BV57" s="71" t="s">
        <v>106</v>
      </c>
      <c r="BX57" s="71" t="s">
        <v>106</v>
      </c>
      <c r="BZ57" s="71" t="s">
        <v>106</v>
      </c>
      <c r="CB57" s="71" t="s">
        <v>106</v>
      </c>
      <c r="CC57" s="71" t="s">
        <v>897</v>
      </c>
      <c r="CD57" s="71" t="s">
        <v>106</v>
      </c>
      <c r="CF57" s="71" t="s">
        <v>106</v>
      </c>
      <c r="CH57" s="71" t="s">
        <v>106</v>
      </c>
      <c r="CJ57" s="71" t="s">
        <v>107</v>
      </c>
      <c r="CK57" s="71" t="s">
        <v>898</v>
      </c>
      <c r="CL57" s="71" t="s">
        <v>107</v>
      </c>
      <c r="CM57" s="71" t="s">
        <v>899</v>
      </c>
      <c r="CN57" s="71" t="s">
        <v>106</v>
      </c>
      <c r="CO57" s="71" t="s">
        <v>900</v>
      </c>
      <c r="CP57" s="71" t="s">
        <v>106</v>
      </c>
      <c r="CQ57" s="71" t="s">
        <v>901</v>
      </c>
      <c r="CR57" s="71" t="s">
        <v>107</v>
      </c>
      <c r="CS57" s="71" t="s">
        <v>902</v>
      </c>
      <c r="CT57" s="71" t="s">
        <v>106</v>
      </c>
      <c r="CV57" s="71" t="s">
        <v>107</v>
      </c>
      <c r="CW57" s="71" t="s">
        <v>903</v>
      </c>
      <c r="CX57" s="71" t="s">
        <v>904</v>
      </c>
      <c r="CY57" s="71" t="s">
        <v>905</v>
      </c>
      <c r="CZ57" s="71" t="s">
        <v>906</v>
      </c>
      <c r="DA57" s="71" t="s">
        <v>907</v>
      </c>
      <c r="DB57" s="72" t="s">
        <v>908</v>
      </c>
    </row>
    <row r="58" spans="1:106" ht="13.2" x14ac:dyDescent="0.25">
      <c r="A58" s="77">
        <v>45687.46546496528</v>
      </c>
      <c r="B58" s="73" t="s">
        <v>106</v>
      </c>
      <c r="C58" s="73" t="s">
        <v>909</v>
      </c>
      <c r="D58" s="73" t="s">
        <v>107</v>
      </c>
      <c r="E58" s="73" t="s">
        <v>910</v>
      </c>
      <c r="F58" s="73" t="s">
        <v>106</v>
      </c>
      <c r="H58" s="73" t="s">
        <v>106</v>
      </c>
      <c r="J58" s="73" t="s">
        <v>107</v>
      </c>
      <c r="K58" s="73" t="s">
        <v>911</v>
      </c>
      <c r="L58" s="73" t="s">
        <v>106</v>
      </c>
      <c r="M58" s="73" t="s">
        <v>912</v>
      </c>
      <c r="N58" s="73" t="s">
        <v>109</v>
      </c>
      <c r="O58" s="73" t="s">
        <v>913</v>
      </c>
      <c r="P58" s="73" t="s">
        <v>109</v>
      </c>
      <c r="Q58" s="73" t="s">
        <v>914</v>
      </c>
      <c r="R58" s="73" t="s">
        <v>106</v>
      </c>
      <c r="S58" s="73" t="s">
        <v>915</v>
      </c>
      <c r="T58" s="73" t="s">
        <v>106</v>
      </c>
      <c r="V58" s="73" t="s">
        <v>106</v>
      </c>
      <c r="X58" s="73" t="s">
        <v>106</v>
      </c>
      <c r="Y58" s="73" t="s">
        <v>916</v>
      </c>
      <c r="Z58" s="73" t="s">
        <v>106</v>
      </c>
      <c r="AB58" s="73" t="s">
        <v>107</v>
      </c>
      <c r="AC58" s="73" t="s">
        <v>917</v>
      </c>
      <c r="AD58" s="73" t="s">
        <v>109</v>
      </c>
      <c r="AE58" s="73" t="s">
        <v>918</v>
      </c>
      <c r="AF58" s="73" t="s">
        <v>106</v>
      </c>
      <c r="AH58" s="73" t="s">
        <v>106</v>
      </c>
      <c r="AJ58" s="73" t="s">
        <v>106</v>
      </c>
      <c r="AL58" s="73" t="s">
        <v>106</v>
      </c>
      <c r="AN58" s="73" t="s">
        <v>106</v>
      </c>
      <c r="AP58" s="73" t="s">
        <v>107</v>
      </c>
      <c r="AQ58" s="73" t="s">
        <v>919</v>
      </c>
      <c r="AR58" s="73" t="s">
        <v>106</v>
      </c>
      <c r="AT58" s="73" t="s">
        <v>106</v>
      </c>
      <c r="AV58" s="73" t="s">
        <v>106</v>
      </c>
      <c r="AX58" s="73" t="s">
        <v>106</v>
      </c>
      <c r="AZ58" s="73" t="s">
        <v>109</v>
      </c>
      <c r="BA58" s="73" t="s">
        <v>920</v>
      </c>
      <c r="BB58" s="73" t="s">
        <v>106</v>
      </c>
      <c r="BD58" s="73" t="s">
        <v>107</v>
      </c>
      <c r="BF58" s="73" t="s">
        <v>107</v>
      </c>
      <c r="BH58" s="73" t="s">
        <v>107</v>
      </c>
      <c r="BJ58" s="73" t="s">
        <v>106</v>
      </c>
      <c r="BL58" s="73" t="s">
        <v>106</v>
      </c>
      <c r="BN58" s="73" t="s">
        <v>106</v>
      </c>
      <c r="BP58" s="73" t="s">
        <v>107</v>
      </c>
      <c r="BR58" s="73" t="s">
        <v>107</v>
      </c>
      <c r="BS58" s="73" t="s">
        <v>921</v>
      </c>
      <c r="BT58" s="73" t="s">
        <v>108</v>
      </c>
      <c r="BU58" s="73" t="s">
        <v>922</v>
      </c>
      <c r="BV58" s="73" t="s">
        <v>106</v>
      </c>
      <c r="BX58" s="73" t="s">
        <v>109</v>
      </c>
      <c r="BY58" s="73" t="s">
        <v>923</v>
      </c>
      <c r="BZ58" s="73" t="s">
        <v>109</v>
      </c>
      <c r="CA58" s="73" t="s">
        <v>924</v>
      </c>
      <c r="CB58" s="73" t="s">
        <v>108</v>
      </c>
      <c r="CC58" s="73" t="s">
        <v>925</v>
      </c>
      <c r="CD58" s="73" t="s">
        <v>106</v>
      </c>
      <c r="CF58" s="73" t="s">
        <v>106</v>
      </c>
      <c r="CH58" s="73" t="s">
        <v>106</v>
      </c>
      <c r="CJ58" s="73" t="s">
        <v>106</v>
      </c>
      <c r="CL58" s="73" t="s">
        <v>106</v>
      </c>
      <c r="CN58" s="73" t="s">
        <v>108</v>
      </c>
      <c r="CO58" s="73" t="s">
        <v>926</v>
      </c>
      <c r="CP58" s="73" t="s">
        <v>107</v>
      </c>
      <c r="CR58" s="73" t="s">
        <v>106</v>
      </c>
      <c r="CS58" s="73" t="s">
        <v>927</v>
      </c>
      <c r="CT58" s="73" t="s">
        <v>107</v>
      </c>
      <c r="CU58" s="73" t="s">
        <v>928</v>
      </c>
      <c r="CV58" s="73" t="s">
        <v>107</v>
      </c>
      <c r="CW58" s="73" t="s">
        <v>929</v>
      </c>
      <c r="CX58" s="73" t="s">
        <v>578</v>
      </c>
      <c r="CY58" s="73" t="s">
        <v>930</v>
      </c>
      <c r="CZ58" s="73" t="s">
        <v>931</v>
      </c>
      <c r="DA58" s="73" t="s">
        <v>932</v>
      </c>
      <c r="DB58" s="74" t="s">
        <v>933</v>
      </c>
    </row>
    <row r="59" spans="1:106" ht="13.2" x14ac:dyDescent="0.25">
      <c r="A59" s="78">
        <v>45687.465960150468</v>
      </c>
      <c r="B59" s="71" t="s">
        <v>106</v>
      </c>
      <c r="C59" s="71" t="s">
        <v>934</v>
      </c>
      <c r="D59" s="71" t="s">
        <v>106</v>
      </c>
      <c r="E59" s="71" t="s">
        <v>935</v>
      </c>
      <c r="F59" s="71" t="s">
        <v>106</v>
      </c>
      <c r="H59" s="71" t="s">
        <v>106</v>
      </c>
      <c r="J59" s="71" t="s">
        <v>107</v>
      </c>
      <c r="L59" s="71" t="s">
        <v>106</v>
      </c>
      <c r="M59" s="71" t="s">
        <v>936</v>
      </c>
      <c r="N59" s="71" t="s">
        <v>109</v>
      </c>
      <c r="P59" s="71" t="s">
        <v>107</v>
      </c>
      <c r="Q59" s="71" t="s">
        <v>937</v>
      </c>
      <c r="R59" s="71" t="s">
        <v>106</v>
      </c>
      <c r="S59" s="71" t="s">
        <v>938</v>
      </c>
      <c r="T59" s="71" t="s">
        <v>106</v>
      </c>
      <c r="V59" s="71" t="s">
        <v>106</v>
      </c>
      <c r="X59" s="71" t="s">
        <v>107</v>
      </c>
      <c r="Y59" s="71" t="s">
        <v>939</v>
      </c>
      <c r="Z59" s="71" t="s">
        <v>107</v>
      </c>
      <c r="AB59" s="71" t="s">
        <v>109</v>
      </c>
      <c r="AD59" s="71" t="s">
        <v>106</v>
      </c>
      <c r="AF59" s="71" t="s">
        <v>107</v>
      </c>
      <c r="AH59" s="71" t="s">
        <v>109</v>
      </c>
      <c r="AI59" s="71" t="s">
        <v>940</v>
      </c>
      <c r="AJ59" s="71" t="s">
        <v>106</v>
      </c>
      <c r="AK59" s="71" t="s">
        <v>941</v>
      </c>
      <c r="AL59" s="71" t="s">
        <v>106</v>
      </c>
      <c r="AM59" s="71" t="s">
        <v>942</v>
      </c>
      <c r="AN59" s="71" t="s">
        <v>106</v>
      </c>
      <c r="AP59" s="71" t="s">
        <v>106</v>
      </c>
      <c r="AQ59" s="71" t="s">
        <v>943</v>
      </c>
      <c r="AR59" s="71" t="s">
        <v>106</v>
      </c>
      <c r="AT59" s="71" t="s">
        <v>106</v>
      </c>
      <c r="AV59" s="71" t="s">
        <v>106</v>
      </c>
      <c r="AX59" s="71" t="s">
        <v>106</v>
      </c>
      <c r="AZ59" s="71" t="s">
        <v>106</v>
      </c>
      <c r="BB59" s="71" t="s">
        <v>106</v>
      </c>
      <c r="BD59" s="71" t="s">
        <v>106</v>
      </c>
      <c r="BF59" s="71" t="s">
        <v>106</v>
      </c>
      <c r="BH59" s="71" t="s">
        <v>106</v>
      </c>
      <c r="BJ59" s="71" t="s">
        <v>106</v>
      </c>
      <c r="BL59" s="71" t="s">
        <v>107</v>
      </c>
      <c r="BN59" s="71" t="s">
        <v>107</v>
      </c>
      <c r="BP59" s="71" t="s">
        <v>106</v>
      </c>
      <c r="BR59" s="71" t="s">
        <v>106</v>
      </c>
      <c r="BT59" s="71" t="s">
        <v>109</v>
      </c>
      <c r="BV59" s="71" t="s">
        <v>106</v>
      </c>
      <c r="BX59" s="71" t="s">
        <v>107</v>
      </c>
      <c r="BZ59" s="71" t="s">
        <v>107</v>
      </c>
      <c r="CB59" s="71" t="s">
        <v>106</v>
      </c>
      <c r="CD59" s="71" t="s">
        <v>106</v>
      </c>
      <c r="CE59" s="71" t="s">
        <v>944</v>
      </c>
      <c r="CF59" s="71" t="s">
        <v>106</v>
      </c>
      <c r="CH59" s="71" t="s">
        <v>106</v>
      </c>
      <c r="CJ59" s="71" t="s">
        <v>107</v>
      </c>
      <c r="CL59" s="71" t="s">
        <v>108</v>
      </c>
      <c r="CN59" s="71" t="s">
        <v>106</v>
      </c>
      <c r="CP59" s="71" t="s">
        <v>107</v>
      </c>
      <c r="CR59" s="71" t="s">
        <v>107</v>
      </c>
      <c r="CS59" s="71" t="s">
        <v>945</v>
      </c>
      <c r="CT59" s="71" t="s">
        <v>107</v>
      </c>
      <c r="CV59" s="71" t="s">
        <v>107</v>
      </c>
      <c r="CX59" s="71" t="s">
        <v>946</v>
      </c>
      <c r="CZ59" s="71" t="s">
        <v>947</v>
      </c>
      <c r="DA59" s="71" t="s">
        <v>948</v>
      </c>
      <c r="DB59" s="72" t="s">
        <v>949</v>
      </c>
    </row>
    <row r="60" spans="1:106" ht="13.2" x14ac:dyDescent="0.25">
      <c r="A60" s="77">
        <v>45687.4702497338</v>
      </c>
      <c r="B60" s="73" t="s">
        <v>106</v>
      </c>
      <c r="C60" s="73" t="s">
        <v>950</v>
      </c>
      <c r="D60" s="73" t="s">
        <v>107</v>
      </c>
      <c r="E60" s="73" t="s">
        <v>951</v>
      </c>
      <c r="F60" s="73" t="s">
        <v>108</v>
      </c>
      <c r="G60" s="73" t="s">
        <v>952</v>
      </c>
      <c r="H60" s="73" t="s">
        <v>106</v>
      </c>
      <c r="I60" s="73" t="s">
        <v>953</v>
      </c>
      <c r="J60" s="73" t="s">
        <v>107</v>
      </c>
      <c r="K60" s="73" t="s">
        <v>954</v>
      </c>
      <c r="L60" s="73" t="s">
        <v>108</v>
      </c>
      <c r="M60" s="73" t="s">
        <v>955</v>
      </c>
      <c r="N60" s="73" t="s">
        <v>106</v>
      </c>
      <c r="P60" s="73" t="s">
        <v>107</v>
      </c>
      <c r="R60" s="73" t="s">
        <v>108</v>
      </c>
      <c r="S60" s="73" t="s">
        <v>956</v>
      </c>
      <c r="T60" s="73" t="s">
        <v>108</v>
      </c>
      <c r="V60" s="73" t="s">
        <v>108</v>
      </c>
      <c r="X60" s="73" t="s">
        <v>108</v>
      </c>
      <c r="Z60" s="73" t="s">
        <v>108</v>
      </c>
      <c r="AB60" s="73" t="s">
        <v>107</v>
      </c>
      <c r="AD60" s="73" t="s">
        <v>106</v>
      </c>
      <c r="AF60" s="73" t="s">
        <v>106</v>
      </c>
      <c r="AH60" s="73" t="s">
        <v>106</v>
      </c>
      <c r="AJ60" s="73" t="s">
        <v>107</v>
      </c>
      <c r="AL60" s="73" t="s">
        <v>106</v>
      </c>
      <c r="AN60" s="73" t="s">
        <v>106</v>
      </c>
      <c r="AP60" s="73" t="s">
        <v>107</v>
      </c>
      <c r="AR60" s="73" t="s">
        <v>106</v>
      </c>
      <c r="AT60" s="73" t="s">
        <v>107</v>
      </c>
      <c r="AV60" s="73" t="s">
        <v>106</v>
      </c>
      <c r="AX60" s="73" t="s">
        <v>108</v>
      </c>
      <c r="AZ60" s="73" t="s">
        <v>106</v>
      </c>
      <c r="BB60" s="73" t="s">
        <v>106</v>
      </c>
      <c r="BD60" s="73" t="s">
        <v>108</v>
      </c>
      <c r="BF60" s="73" t="s">
        <v>106</v>
      </c>
      <c r="BH60" s="73" t="s">
        <v>106</v>
      </c>
      <c r="BJ60" s="73" t="s">
        <v>106</v>
      </c>
      <c r="BL60" s="73" t="s">
        <v>108</v>
      </c>
      <c r="BN60" s="73" t="s">
        <v>106</v>
      </c>
      <c r="BP60" s="73" t="s">
        <v>107</v>
      </c>
      <c r="BR60" s="73" t="s">
        <v>108</v>
      </c>
      <c r="BT60" s="73" t="s">
        <v>109</v>
      </c>
      <c r="BV60" s="73" t="s">
        <v>106</v>
      </c>
      <c r="BX60" s="73" t="s">
        <v>106</v>
      </c>
      <c r="BZ60" s="73" t="s">
        <v>106</v>
      </c>
      <c r="CB60" s="73" t="s">
        <v>108</v>
      </c>
      <c r="CD60" s="73" t="s">
        <v>108</v>
      </c>
      <c r="CF60" s="73" t="s">
        <v>106</v>
      </c>
      <c r="CH60" s="73" t="s">
        <v>108</v>
      </c>
      <c r="CJ60" s="73" t="s">
        <v>108</v>
      </c>
      <c r="CL60" s="73" t="s">
        <v>108</v>
      </c>
      <c r="CN60" s="73" t="s">
        <v>108</v>
      </c>
      <c r="CP60" s="73" t="s">
        <v>106</v>
      </c>
      <c r="CR60" s="73" t="s">
        <v>108</v>
      </c>
      <c r="CT60" s="73" t="s">
        <v>107</v>
      </c>
      <c r="CV60" s="73" t="s">
        <v>106</v>
      </c>
      <c r="CX60" s="73" t="s">
        <v>957</v>
      </c>
      <c r="CZ60" s="73" t="s">
        <v>958</v>
      </c>
      <c r="DA60" s="73" t="s">
        <v>959</v>
      </c>
      <c r="DB60" s="74" t="s">
        <v>960</v>
      </c>
    </row>
    <row r="61" spans="1:106" ht="13.2" x14ac:dyDescent="0.25">
      <c r="A61" s="78">
        <v>45687.478453634263</v>
      </c>
      <c r="B61" s="71" t="s">
        <v>106</v>
      </c>
      <c r="D61" s="71" t="s">
        <v>106</v>
      </c>
      <c r="F61" s="71" t="s">
        <v>106</v>
      </c>
      <c r="H61" s="71" t="s">
        <v>106</v>
      </c>
      <c r="J61" s="71" t="s">
        <v>106</v>
      </c>
      <c r="L61" s="71" t="s">
        <v>106</v>
      </c>
      <c r="N61" s="71" t="s">
        <v>106</v>
      </c>
      <c r="P61" s="71" t="s">
        <v>106</v>
      </c>
      <c r="R61" s="71" t="s">
        <v>106</v>
      </c>
      <c r="T61" s="71" t="s">
        <v>106</v>
      </c>
      <c r="V61" s="71" t="s">
        <v>106</v>
      </c>
      <c r="X61" s="71" t="s">
        <v>106</v>
      </c>
      <c r="Z61" s="71" t="s">
        <v>106</v>
      </c>
      <c r="AB61" s="71" t="s">
        <v>106</v>
      </c>
      <c r="AD61" s="71" t="s">
        <v>107</v>
      </c>
      <c r="AF61" s="71" t="s">
        <v>106</v>
      </c>
      <c r="AH61" s="71" t="s">
        <v>106</v>
      </c>
      <c r="AJ61" s="71" t="s">
        <v>106</v>
      </c>
      <c r="AL61" s="71" t="s">
        <v>106</v>
      </c>
      <c r="AN61" s="71" t="s">
        <v>106</v>
      </c>
      <c r="AP61" s="71" t="s">
        <v>106</v>
      </c>
      <c r="AR61" s="71" t="s">
        <v>106</v>
      </c>
      <c r="AT61" s="71" t="s">
        <v>106</v>
      </c>
      <c r="AV61" s="71" t="s">
        <v>106</v>
      </c>
      <c r="AX61" s="71" t="s">
        <v>106</v>
      </c>
      <c r="AZ61" s="71" t="s">
        <v>106</v>
      </c>
      <c r="BB61" s="71" t="s">
        <v>106</v>
      </c>
      <c r="BD61" s="71" t="s">
        <v>106</v>
      </c>
      <c r="BF61" s="71" t="s">
        <v>106</v>
      </c>
      <c r="BH61" s="71" t="s">
        <v>106</v>
      </c>
      <c r="BJ61" s="71" t="s">
        <v>106</v>
      </c>
      <c r="BL61" s="71" t="s">
        <v>106</v>
      </c>
      <c r="BN61" s="71" t="s">
        <v>106</v>
      </c>
      <c r="BP61" s="71" t="s">
        <v>106</v>
      </c>
      <c r="BR61" s="71" t="s">
        <v>106</v>
      </c>
      <c r="BT61" s="71" t="s">
        <v>106</v>
      </c>
      <c r="BV61" s="71" t="s">
        <v>106</v>
      </c>
      <c r="BX61" s="71" t="s">
        <v>106</v>
      </c>
      <c r="BZ61" s="71" t="s">
        <v>106</v>
      </c>
      <c r="CB61" s="71" t="s">
        <v>106</v>
      </c>
      <c r="CD61" s="71" t="s">
        <v>106</v>
      </c>
      <c r="CF61" s="71" t="s">
        <v>106</v>
      </c>
      <c r="CH61" s="71" t="s">
        <v>106</v>
      </c>
      <c r="CJ61" s="71" t="s">
        <v>106</v>
      </c>
      <c r="CL61" s="71" t="s">
        <v>106</v>
      </c>
      <c r="CN61" s="71" t="s">
        <v>106</v>
      </c>
      <c r="CP61" s="71" t="s">
        <v>106</v>
      </c>
      <c r="CR61" s="71" t="s">
        <v>106</v>
      </c>
      <c r="CT61" s="71" t="s">
        <v>106</v>
      </c>
      <c r="CV61" s="71" t="s">
        <v>106</v>
      </c>
      <c r="CX61" s="71" t="s">
        <v>961</v>
      </c>
      <c r="CZ61" s="71" t="s">
        <v>962</v>
      </c>
      <c r="DA61" s="71" t="s">
        <v>963</v>
      </c>
      <c r="DB61" s="72" t="s">
        <v>468</v>
      </c>
    </row>
    <row r="62" spans="1:106" ht="13.2" x14ac:dyDescent="0.25">
      <c r="A62" s="77">
        <v>45687.479819120374</v>
      </c>
      <c r="B62" s="73" t="s">
        <v>108</v>
      </c>
      <c r="D62" s="73" t="s">
        <v>108</v>
      </c>
      <c r="F62" s="73" t="s">
        <v>106</v>
      </c>
      <c r="H62" s="73" t="s">
        <v>106</v>
      </c>
      <c r="J62" s="73" t="s">
        <v>106</v>
      </c>
      <c r="L62" s="73" t="s">
        <v>106</v>
      </c>
      <c r="N62" s="73" t="s">
        <v>106</v>
      </c>
      <c r="P62" s="73" t="s">
        <v>107</v>
      </c>
      <c r="Q62" s="73" t="s">
        <v>964</v>
      </c>
      <c r="R62" s="73" t="s">
        <v>108</v>
      </c>
      <c r="T62" s="73" t="s">
        <v>106</v>
      </c>
      <c r="V62" s="73" t="s">
        <v>106</v>
      </c>
      <c r="X62" s="73" t="s">
        <v>106</v>
      </c>
      <c r="Z62" s="73" t="s">
        <v>106</v>
      </c>
      <c r="AB62" s="73" t="s">
        <v>106</v>
      </c>
      <c r="AD62" s="73" t="s">
        <v>106</v>
      </c>
      <c r="AF62" s="73" t="s">
        <v>106</v>
      </c>
      <c r="AH62" s="73" t="s">
        <v>108</v>
      </c>
      <c r="AJ62" s="73" t="s">
        <v>106</v>
      </c>
      <c r="AL62" s="73" t="s">
        <v>108</v>
      </c>
      <c r="AN62" s="73" t="s">
        <v>106</v>
      </c>
      <c r="AP62" s="73" t="s">
        <v>106</v>
      </c>
      <c r="AR62" s="73" t="s">
        <v>106</v>
      </c>
      <c r="AT62" s="73" t="s">
        <v>106</v>
      </c>
      <c r="AV62" s="73" t="s">
        <v>106</v>
      </c>
      <c r="AW62" s="73" t="s">
        <v>965</v>
      </c>
      <c r="AX62" s="73" t="s">
        <v>106</v>
      </c>
      <c r="AZ62" s="73" t="s">
        <v>106</v>
      </c>
      <c r="BB62" s="73" t="s">
        <v>106</v>
      </c>
      <c r="BD62" s="73" t="s">
        <v>106</v>
      </c>
      <c r="BF62" s="73" t="s">
        <v>106</v>
      </c>
      <c r="BH62" s="73" t="s">
        <v>107</v>
      </c>
      <c r="BI62" s="73" t="s">
        <v>966</v>
      </c>
      <c r="BJ62" s="73" t="s">
        <v>106</v>
      </c>
      <c r="BL62" s="73" t="s">
        <v>106</v>
      </c>
      <c r="BN62" s="73" t="s">
        <v>107</v>
      </c>
      <c r="BO62" s="73" t="s">
        <v>967</v>
      </c>
      <c r="BP62" s="73" t="s">
        <v>106</v>
      </c>
      <c r="BR62" s="73" t="s">
        <v>108</v>
      </c>
      <c r="BT62" s="73" t="s">
        <v>106</v>
      </c>
      <c r="BU62" s="73" t="s">
        <v>968</v>
      </c>
      <c r="BV62" s="73" t="s">
        <v>106</v>
      </c>
      <c r="BX62" s="73" t="s">
        <v>106</v>
      </c>
      <c r="BZ62" s="73" t="s">
        <v>108</v>
      </c>
      <c r="CB62" s="73" t="s">
        <v>106</v>
      </c>
      <c r="CD62" s="73" t="s">
        <v>108</v>
      </c>
      <c r="CF62" s="73" t="s">
        <v>108</v>
      </c>
      <c r="CH62" s="73" t="s">
        <v>108</v>
      </c>
      <c r="CJ62" s="73" t="s">
        <v>108</v>
      </c>
      <c r="CL62" s="73" t="s">
        <v>106</v>
      </c>
      <c r="CN62" s="73" t="s">
        <v>106</v>
      </c>
      <c r="CP62" s="73" t="s">
        <v>107</v>
      </c>
      <c r="CQ62" s="73" t="s">
        <v>969</v>
      </c>
      <c r="CR62" s="73" t="s">
        <v>106</v>
      </c>
      <c r="CT62" s="73" t="s">
        <v>106</v>
      </c>
      <c r="CV62" s="73" t="s">
        <v>106</v>
      </c>
      <c r="CX62" s="73" t="s">
        <v>446</v>
      </c>
      <c r="CZ62" s="73" t="s">
        <v>970</v>
      </c>
      <c r="DA62" s="73" t="s">
        <v>971</v>
      </c>
      <c r="DB62" s="74" t="s">
        <v>972</v>
      </c>
    </row>
    <row r="63" spans="1:106" ht="13.2" x14ac:dyDescent="0.25">
      <c r="A63" s="78">
        <v>45687.484093333333</v>
      </c>
      <c r="B63" s="71" t="s">
        <v>108</v>
      </c>
      <c r="D63" s="71" t="s">
        <v>108</v>
      </c>
      <c r="F63" s="71" t="s">
        <v>106</v>
      </c>
      <c r="H63" s="71" t="s">
        <v>108</v>
      </c>
      <c r="I63" s="71" t="s">
        <v>973</v>
      </c>
      <c r="J63" s="71" t="s">
        <v>108</v>
      </c>
      <c r="K63" s="71" t="s">
        <v>974</v>
      </c>
      <c r="L63" s="71" t="s">
        <v>106</v>
      </c>
      <c r="N63" s="71" t="s">
        <v>106</v>
      </c>
      <c r="O63" s="71" t="s">
        <v>975</v>
      </c>
      <c r="P63" s="71" t="s">
        <v>107</v>
      </c>
      <c r="Q63" s="71" t="s">
        <v>976</v>
      </c>
      <c r="R63" s="71" t="s">
        <v>108</v>
      </c>
      <c r="S63" s="71" t="s">
        <v>977</v>
      </c>
      <c r="T63" s="71" t="s">
        <v>106</v>
      </c>
      <c r="V63" s="71" t="s">
        <v>108</v>
      </c>
      <c r="X63" s="71" t="s">
        <v>106</v>
      </c>
      <c r="Z63" s="71" t="s">
        <v>108</v>
      </c>
      <c r="AB63" s="71" t="s">
        <v>106</v>
      </c>
      <c r="AD63" s="71" t="s">
        <v>108</v>
      </c>
      <c r="AE63" s="71" t="s">
        <v>978</v>
      </c>
      <c r="AF63" s="71" t="s">
        <v>108</v>
      </c>
      <c r="AH63" s="71" t="s">
        <v>106</v>
      </c>
      <c r="AJ63" s="71" t="s">
        <v>106</v>
      </c>
      <c r="AL63" s="71" t="s">
        <v>108</v>
      </c>
      <c r="AM63" s="71" t="s">
        <v>979</v>
      </c>
      <c r="AN63" s="71" t="s">
        <v>106</v>
      </c>
      <c r="AP63" s="71" t="s">
        <v>108</v>
      </c>
      <c r="AQ63" s="71" t="s">
        <v>980</v>
      </c>
      <c r="AR63" s="71" t="s">
        <v>108</v>
      </c>
      <c r="AS63" s="71" t="s">
        <v>981</v>
      </c>
      <c r="AT63" s="71" t="s">
        <v>106</v>
      </c>
      <c r="AV63" s="71" t="s">
        <v>106</v>
      </c>
      <c r="AX63" s="71" t="s">
        <v>106</v>
      </c>
      <c r="AZ63" s="71" t="s">
        <v>106</v>
      </c>
      <c r="BB63" s="71" t="s">
        <v>108</v>
      </c>
      <c r="BD63" s="71" t="s">
        <v>106</v>
      </c>
      <c r="BF63" s="71" t="s">
        <v>108</v>
      </c>
      <c r="BH63" s="71" t="s">
        <v>106</v>
      </c>
      <c r="BJ63" s="71" t="s">
        <v>108</v>
      </c>
      <c r="BL63" s="71" t="s">
        <v>108</v>
      </c>
      <c r="BN63" s="71" t="s">
        <v>106</v>
      </c>
      <c r="BP63" s="71" t="s">
        <v>108</v>
      </c>
      <c r="BQ63" s="71" t="s">
        <v>982</v>
      </c>
      <c r="BR63" s="71" t="s">
        <v>108</v>
      </c>
      <c r="BT63" s="71" t="s">
        <v>107</v>
      </c>
      <c r="BU63" s="71" t="s">
        <v>983</v>
      </c>
      <c r="BV63" s="71" t="s">
        <v>106</v>
      </c>
      <c r="BX63" s="71" t="s">
        <v>108</v>
      </c>
      <c r="BZ63" s="71" t="s">
        <v>108</v>
      </c>
      <c r="CB63" s="71" t="s">
        <v>107</v>
      </c>
      <c r="CD63" s="71" t="s">
        <v>108</v>
      </c>
      <c r="CF63" s="71" t="s">
        <v>108</v>
      </c>
      <c r="CH63" s="71" t="s">
        <v>108</v>
      </c>
      <c r="CI63" s="71" t="s">
        <v>984</v>
      </c>
      <c r="CJ63" s="71" t="s">
        <v>108</v>
      </c>
      <c r="CL63" s="71" t="s">
        <v>108</v>
      </c>
      <c r="CN63" s="71" t="s">
        <v>108</v>
      </c>
      <c r="CO63" s="71" t="s">
        <v>985</v>
      </c>
      <c r="CP63" s="71" t="s">
        <v>106</v>
      </c>
      <c r="CQ63" s="71" t="s">
        <v>986</v>
      </c>
      <c r="CR63" s="71" t="s">
        <v>108</v>
      </c>
      <c r="CS63" s="71" t="s">
        <v>987</v>
      </c>
      <c r="CT63" s="71" t="s">
        <v>108</v>
      </c>
      <c r="CV63" s="71" t="s">
        <v>108</v>
      </c>
      <c r="CW63" s="71" t="s">
        <v>988</v>
      </c>
      <c r="CX63" s="71" t="s">
        <v>989</v>
      </c>
      <c r="CZ63" s="71" t="s">
        <v>990</v>
      </c>
      <c r="DA63" s="71" t="s">
        <v>991</v>
      </c>
      <c r="DB63" s="72" t="s">
        <v>992</v>
      </c>
    </row>
    <row r="64" spans="1:106" ht="13.2" x14ac:dyDescent="0.25">
      <c r="A64" s="77">
        <v>45687.487274780091</v>
      </c>
      <c r="B64" s="73" t="s">
        <v>108</v>
      </c>
      <c r="C64" s="73" t="s">
        <v>993</v>
      </c>
      <c r="D64" s="73" t="s">
        <v>108</v>
      </c>
      <c r="F64" s="73" t="s">
        <v>106</v>
      </c>
      <c r="G64" s="73" t="s">
        <v>994</v>
      </c>
      <c r="H64" s="73" t="s">
        <v>106</v>
      </c>
      <c r="J64" s="73" t="s">
        <v>108</v>
      </c>
      <c r="K64" s="73" t="s">
        <v>995</v>
      </c>
      <c r="L64" s="73" t="s">
        <v>108</v>
      </c>
      <c r="M64" s="73" t="s">
        <v>996</v>
      </c>
      <c r="N64" s="73" t="s">
        <v>108</v>
      </c>
      <c r="P64" s="73" t="s">
        <v>106</v>
      </c>
      <c r="R64" s="73" t="s">
        <v>108</v>
      </c>
      <c r="T64" s="73" t="s">
        <v>108</v>
      </c>
      <c r="U64" s="73" t="s">
        <v>997</v>
      </c>
      <c r="V64" s="73" t="s">
        <v>108</v>
      </c>
      <c r="W64" s="73" t="s">
        <v>998</v>
      </c>
      <c r="X64" s="73" t="s">
        <v>106</v>
      </c>
      <c r="Z64" s="73" t="s">
        <v>108</v>
      </c>
      <c r="AB64" s="73" t="s">
        <v>106</v>
      </c>
      <c r="AD64" s="73" t="s">
        <v>106</v>
      </c>
      <c r="AF64" s="73" t="s">
        <v>106</v>
      </c>
      <c r="AG64" s="73" t="s">
        <v>999</v>
      </c>
      <c r="AH64" s="73" t="s">
        <v>108</v>
      </c>
      <c r="AJ64" s="73" t="s">
        <v>108</v>
      </c>
      <c r="AK64" s="73" t="s">
        <v>1000</v>
      </c>
      <c r="AL64" s="73" t="s">
        <v>108</v>
      </c>
      <c r="AN64" s="73" t="s">
        <v>108</v>
      </c>
      <c r="AP64" s="73" t="s">
        <v>108</v>
      </c>
      <c r="AR64" s="73" t="s">
        <v>108</v>
      </c>
      <c r="AT64" s="73" t="s">
        <v>108</v>
      </c>
      <c r="AV64" s="73" t="s">
        <v>106</v>
      </c>
      <c r="AX64" s="73" t="s">
        <v>108</v>
      </c>
      <c r="AZ64" s="73" t="s">
        <v>108</v>
      </c>
      <c r="BB64" s="73" t="s">
        <v>106</v>
      </c>
      <c r="BD64" s="73" t="s">
        <v>108</v>
      </c>
      <c r="BF64" s="73" t="s">
        <v>106</v>
      </c>
      <c r="BH64" s="73" t="s">
        <v>108</v>
      </c>
      <c r="BJ64" s="73" t="s">
        <v>108</v>
      </c>
      <c r="BL64" s="73" t="s">
        <v>108</v>
      </c>
      <c r="BN64" s="73" t="s">
        <v>106</v>
      </c>
      <c r="BP64" s="73" t="s">
        <v>108</v>
      </c>
      <c r="BR64" s="73" t="s">
        <v>106</v>
      </c>
      <c r="BT64" s="73" t="s">
        <v>109</v>
      </c>
      <c r="BU64" s="73" t="s">
        <v>1001</v>
      </c>
      <c r="BV64" s="73" t="s">
        <v>106</v>
      </c>
      <c r="BX64" s="73" t="s">
        <v>106</v>
      </c>
      <c r="BZ64" s="73" t="s">
        <v>106</v>
      </c>
      <c r="CA64" s="73" t="s">
        <v>1002</v>
      </c>
      <c r="CB64" s="73" t="s">
        <v>107</v>
      </c>
      <c r="CC64" s="73" t="s">
        <v>1003</v>
      </c>
      <c r="CD64" s="73" t="s">
        <v>108</v>
      </c>
      <c r="CF64" s="73" t="s">
        <v>108</v>
      </c>
      <c r="CG64" s="73" t="s">
        <v>1004</v>
      </c>
      <c r="CH64" s="73" t="s">
        <v>108</v>
      </c>
      <c r="CJ64" s="73" t="s">
        <v>108</v>
      </c>
      <c r="CK64" s="73" t="s">
        <v>1005</v>
      </c>
      <c r="CL64" s="73" t="s">
        <v>106</v>
      </c>
      <c r="CN64" s="73" t="s">
        <v>106</v>
      </c>
      <c r="CO64" s="73" t="s">
        <v>1006</v>
      </c>
      <c r="CP64" s="73" t="s">
        <v>107</v>
      </c>
      <c r="CQ64" s="73" t="s">
        <v>1007</v>
      </c>
      <c r="CR64" s="73" t="s">
        <v>108</v>
      </c>
      <c r="CT64" s="73" t="s">
        <v>108</v>
      </c>
      <c r="CU64" s="73" t="s">
        <v>1008</v>
      </c>
      <c r="CV64" s="73" t="s">
        <v>108</v>
      </c>
      <c r="CX64" s="73" t="s">
        <v>1009</v>
      </c>
      <c r="CZ64" s="73" t="s">
        <v>1010</v>
      </c>
      <c r="DA64" s="73" t="s">
        <v>1011</v>
      </c>
      <c r="DB64" s="74" t="s">
        <v>1012</v>
      </c>
    </row>
    <row r="65" spans="1:106" ht="13.2" x14ac:dyDescent="0.25">
      <c r="A65" s="78">
        <v>45687.491845798606</v>
      </c>
      <c r="B65" s="71" t="s">
        <v>108</v>
      </c>
      <c r="C65" s="71" t="s">
        <v>1013</v>
      </c>
      <c r="D65" s="71" t="s">
        <v>108</v>
      </c>
      <c r="E65" s="71" t="s">
        <v>1014</v>
      </c>
      <c r="F65" s="71" t="s">
        <v>106</v>
      </c>
      <c r="G65" s="71" t="s">
        <v>1015</v>
      </c>
      <c r="H65" s="71" t="s">
        <v>106</v>
      </c>
      <c r="I65" s="71" t="s">
        <v>1016</v>
      </c>
      <c r="J65" s="71" t="s">
        <v>107</v>
      </c>
      <c r="K65" s="71" t="s">
        <v>1017</v>
      </c>
      <c r="L65" s="71" t="s">
        <v>107</v>
      </c>
      <c r="M65" s="71" t="s">
        <v>1018</v>
      </c>
      <c r="N65" s="71" t="s">
        <v>107</v>
      </c>
      <c r="O65" s="71" t="s">
        <v>1019</v>
      </c>
      <c r="P65" s="71" t="s">
        <v>107</v>
      </c>
      <c r="Q65" s="71" t="s">
        <v>1020</v>
      </c>
      <c r="R65" s="71" t="s">
        <v>109</v>
      </c>
      <c r="S65" s="71" t="s">
        <v>1021</v>
      </c>
      <c r="T65" s="71" t="s">
        <v>108</v>
      </c>
      <c r="U65" s="71" t="s">
        <v>1022</v>
      </c>
      <c r="V65" s="71" t="s">
        <v>106</v>
      </c>
      <c r="W65" s="71" t="s">
        <v>1023</v>
      </c>
      <c r="X65" s="71" t="s">
        <v>107</v>
      </c>
      <c r="Y65" s="71" t="s">
        <v>1024</v>
      </c>
      <c r="Z65" s="71" t="s">
        <v>109</v>
      </c>
      <c r="AA65" s="71" t="s">
        <v>1025</v>
      </c>
      <c r="AB65" s="71" t="s">
        <v>109</v>
      </c>
      <c r="AC65" s="71" t="s">
        <v>1026</v>
      </c>
      <c r="AD65" s="71" t="s">
        <v>108</v>
      </c>
      <c r="AE65" s="71" t="s">
        <v>1027</v>
      </c>
      <c r="AF65" s="71" t="s">
        <v>109</v>
      </c>
      <c r="AG65" s="71" t="s">
        <v>1028</v>
      </c>
      <c r="AH65" s="71" t="s">
        <v>108</v>
      </c>
      <c r="AI65" s="71" t="s">
        <v>1029</v>
      </c>
      <c r="AJ65" s="71" t="s">
        <v>108</v>
      </c>
      <c r="AK65" s="71" t="s">
        <v>1030</v>
      </c>
      <c r="AL65" s="71" t="s">
        <v>108</v>
      </c>
      <c r="AM65" s="71" t="s">
        <v>1031</v>
      </c>
      <c r="AN65" s="71" t="s">
        <v>108</v>
      </c>
      <c r="AO65" s="71" t="s">
        <v>1032</v>
      </c>
      <c r="AP65" s="71" t="s">
        <v>108</v>
      </c>
      <c r="AQ65" s="71" t="s">
        <v>1033</v>
      </c>
      <c r="AR65" s="71" t="s">
        <v>108</v>
      </c>
      <c r="AS65" s="71" t="s">
        <v>1034</v>
      </c>
      <c r="AT65" s="71" t="s">
        <v>107</v>
      </c>
      <c r="AU65" s="71" t="s">
        <v>1035</v>
      </c>
      <c r="AV65" s="71" t="s">
        <v>107</v>
      </c>
      <c r="AW65" s="71" t="s">
        <v>1036</v>
      </c>
      <c r="AX65" s="71" t="s">
        <v>108</v>
      </c>
      <c r="AY65" s="71" t="s">
        <v>1037</v>
      </c>
      <c r="AZ65" s="71" t="s">
        <v>108</v>
      </c>
      <c r="BA65" s="71" t="s">
        <v>1038</v>
      </c>
      <c r="BB65" s="71" t="s">
        <v>108</v>
      </c>
      <c r="BC65" s="71" t="s">
        <v>1039</v>
      </c>
      <c r="BD65" s="71" t="s">
        <v>107</v>
      </c>
      <c r="BE65" s="71" t="s">
        <v>1040</v>
      </c>
      <c r="BF65" s="71" t="s">
        <v>107</v>
      </c>
      <c r="BG65" s="71" t="s">
        <v>1041</v>
      </c>
      <c r="BH65" s="71" t="s">
        <v>108</v>
      </c>
      <c r="BI65" s="71" t="s">
        <v>1042</v>
      </c>
      <c r="BJ65" s="71" t="s">
        <v>106</v>
      </c>
      <c r="BK65" s="71" t="s">
        <v>1043</v>
      </c>
      <c r="BL65" s="71" t="s">
        <v>106</v>
      </c>
      <c r="BM65" s="71" t="s">
        <v>1044</v>
      </c>
      <c r="BN65" s="71" t="s">
        <v>106</v>
      </c>
      <c r="BO65" s="71" t="s">
        <v>1045</v>
      </c>
      <c r="BP65" s="71" t="s">
        <v>108</v>
      </c>
      <c r="BQ65" s="71" t="s">
        <v>1046</v>
      </c>
      <c r="BR65" s="71" t="s">
        <v>108</v>
      </c>
      <c r="BS65" s="71" t="s">
        <v>1047</v>
      </c>
      <c r="BT65" s="71" t="s">
        <v>106</v>
      </c>
      <c r="BU65" s="71" t="s">
        <v>1048</v>
      </c>
      <c r="BV65" s="71" t="s">
        <v>107</v>
      </c>
      <c r="BW65" s="71" t="s">
        <v>1049</v>
      </c>
      <c r="BX65" s="71" t="s">
        <v>106</v>
      </c>
      <c r="BY65" s="71" t="s">
        <v>1050</v>
      </c>
      <c r="BZ65" s="71" t="s">
        <v>108</v>
      </c>
      <c r="CA65" s="71" t="s">
        <v>1051</v>
      </c>
      <c r="CB65" s="71" t="s">
        <v>107</v>
      </c>
      <c r="CC65" s="71" t="s">
        <v>1052</v>
      </c>
      <c r="CD65" s="71" t="s">
        <v>109</v>
      </c>
      <c r="CE65" s="71" t="s">
        <v>1053</v>
      </c>
      <c r="CF65" s="71" t="s">
        <v>107</v>
      </c>
      <c r="CG65" s="71" t="s">
        <v>1054</v>
      </c>
      <c r="CH65" s="71" t="s">
        <v>108</v>
      </c>
      <c r="CI65" s="71" t="s">
        <v>1055</v>
      </c>
      <c r="CJ65" s="71" t="s">
        <v>109</v>
      </c>
      <c r="CK65" s="71" t="s">
        <v>1056</v>
      </c>
      <c r="CL65" s="71" t="s">
        <v>107</v>
      </c>
      <c r="CM65" s="71" t="s">
        <v>1057</v>
      </c>
      <c r="CN65" s="71" t="s">
        <v>106</v>
      </c>
      <c r="CO65" s="71" t="s">
        <v>1058</v>
      </c>
      <c r="CP65" s="71" t="s">
        <v>107</v>
      </c>
      <c r="CQ65" s="71" t="s">
        <v>1059</v>
      </c>
      <c r="CR65" s="71" t="s">
        <v>109</v>
      </c>
      <c r="CS65" s="71" t="s">
        <v>1060</v>
      </c>
      <c r="CT65" s="71" t="s">
        <v>106</v>
      </c>
      <c r="CU65" s="71" t="s">
        <v>1061</v>
      </c>
      <c r="CV65" s="71" t="s">
        <v>107</v>
      </c>
      <c r="CW65" s="71" t="s">
        <v>1062</v>
      </c>
      <c r="CX65" s="71" t="s">
        <v>1063</v>
      </c>
      <c r="CY65" s="71" t="s">
        <v>1064</v>
      </c>
      <c r="CZ65" s="71" t="s">
        <v>1065</v>
      </c>
      <c r="DA65" s="71" t="s">
        <v>1066</v>
      </c>
      <c r="DB65" s="72" t="s">
        <v>1067</v>
      </c>
    </row>
    <row r="66" spans="1:106" ht="13.2" x14ac:dyDescent="0.25">
      <c r="A66" s="77">
        <v>45687.493241736112</v>
      </c>
      <c r="B66" s="73" t="s">
        <v>107</v>
      </c>
      <c r="C66" s="73" t="s">
        <v>1068</v>
      </c>
      <c r="D66" s="73" t="s">
        <v>108</v>
      </c>
      <c r="F66" s="73" t="s">
        <v>108</v>
      </c>
      <c r="H66" s="73" t="s">
        <v>108</v>
      </c>
      <c r="J66" s="73" t="s">
        <v>107</v>
      </c>
      <c r="K66" s="73" t="s">
        <v>1069</v>
      </c>
      <c r="L66" s="73" t="s">
        <v>108</v>
      </c>
      <c r="N66" s="73" t="s">
        <v>108</v>
      </c>
      <c r="P66" s="73" t="s">
        <v>106</v>
      </c>
      <c r="R66" s="73" t="s">
        <v>108</v>
      </c>
      <c r="T66" s="73" t="s">
        <v>108</v>
      </c>
      <c r="V66" s="73" t="s">
        <v>108</v>
      </c>
      <c r="X66" s="73" t="s">
        <v>106</v>
      </c>
      <c r="Y66" s="73" t="s">
        <v>1070</v>
      </c>
      <c r="Z66" s="73" t="s">
        <v>108</v>
      </c>
      <c r="AB66" s="73" t="s">
        <v>106</v>
      </c>
      <c r="AD66" s="73" t="s">
        <v>108</v>
      </c>
      <c r="AF66" s="73" t="s">
        <v>108</v>
      </c>
      <c r="AH66" s="73" t="s">
        <v>108</v>
      </c>
      <c r="AJ66" s="73" t="s">
        <v>108</v>
      </c>
      <c r="AL66" s="73" t="s">
        <v>108</v>
      </c>
      <c r="AN66" s="73" t="s">
        <v>108</v>
      </c>
      <c r="AP66" s="73" t="s">
        <v>108</v>
      </c>
      <c r="AR66" s="73" t="s">
        <v>108</v>
      </c>
      <c r="AT66" s="73" t="s">
        <v>106</v>
      </c>
      <c r="AV66" s="73" t="s">
        <v>106</v>
      </c>
      <c r="AX66" s="73" t="s">
        <v>108</v>
      </c>
      <c r="AZ66" s="73" t="s">
        <v>108</v>
      </c>
      <c r="BB66" s="73" t="s">
        <v>108</v>
      </c>
      <c r="BD66" s="73" t="s">
        <v>106</v>
      </c>
      <c r="BF66" s="73" t="s">
        <v>106</v>
      </c>
      <c r="BH66" s="73" t="s">
        <v>106</v>
      </c>
      <c r="BJ66" s="73" t="s">
        <v>108</v>
      </c>
      <c r="BL66" s="73" t="s">
        <v>106</v>
      </c>
      <c r="BN66" s="73" t="s">
        <v>108</v>
      </c>
      <c r="BP66" s="73" t="s">
        <v>106</v>
      </c>
      <c r="BR66" s="73" t="s">
        <v>108</v>
      </c>
      <c r="BT66" s="73" t="s">
        <v>109</v>
      </c>
      <c r="BV66" s="73" t="s">
        <v>106</v>
      </c>
      <c r="BX66" s="73" t="s">
        <v>106</v>
      </c>
      <c r="BZ66" s="73" t="s">
        <v>108</v>
      </c>
      <c r="CB66" s="73" t="s">
        <v>107</v>
      </c>
      <c r="CD66" s="73" t="s">
        <v>108</v>
      </c>
      <c r="CF66" s="73" t="s">
        <v>108</v>
      </c>
      <c r="CH66" s="73" t="s">
        <v>108</v>
      </c>
      <c r="CJ66" s="73" t="s">
        <v>108</v>
      </c>
      <c r="CL66" s="73" t="s">
        <v>108</v>
      </c>
      <c r="CN66" s="73" t="s">
        <v>107</v>
      </c>
      <c r="CP66" s="73" t="s">
        <v>109</v>
      </c>
      <c r="CR66" s="73" t="s">
        <v>108</v>
      </c>
      <c r="CT66" s="73" t="s">
        <v>108</v>
      </c>
      <c r="CV66" s="73" t="s">
        <v>108</v>
      </c>
      <c r="CX66" s="73" t="s">
        <v>1071</v>
      </c>
      <c r="CZ66" s="73" t="s">
        <v>1072</v>
      </c>
      <c r="DA66" s="73" t="s">
        <v>1073</v>
      </c>
      <c r="DB66" s="74" t="s">
        <v>1074</v>
      </c>
    </row>
    <row r="67" spans="1:106" ht="13.2" x14ac:dyDescent="0.25">
      <c r="A67" s="78">
        <v>45687.503341631949</v>
      </c>
      <c r="B67" s="71" t="s">
        <v>108</v>
      </c>
      <c r="C67" s="71" t="s">
        <v>1075</v>
      </c>
      <c r="D67" s="71" t="s">
        <v>106</v>
      </c>
      <c r="F67" s="71" t="s">
        <v>106</v>
      </c>
      <c r="H67" s="71" t="s">
        <v>107</v>
      </c>
      <c r="I67" s="71" t="s">
        <v>1076</v>
      </c>
      <c r="J67" s="71" t="s">
        <v>107</v>
      </c>
      <c r="K67" s="71" t="s">
        <v>1077</v>
      </c>
      <c r="L67" s="71" t="s">
        <v>106</v>
      </c>
      <c r="N67" s="71" t="s">
        <v>107</v>
      </c>
      <c r="O67" s="71" t="s">
        <v>1078</v>
      </c>
      <c r="P67" s="71" t="s">
        <v>109</v>
      </c>
      <c r="Q67" s="71" t="s">
        <v>1079</v>
      </c>
      <c r="R67" s="71" t="s">
        <v>106</v>
      </c>
      <c r="T67" s="71" t="s">
        <v>106</v>
      </c>
      <c r="V67" s="71" t="s">
        <v>107</v>
      </c>
      <c r="W67" s="71" t="s">
        <v>1080</v>
      </c>
      <c r="X67" s="71" t="s">
        <v>106</v>
      </c>
      <c r="Z67" s="71" t="s">
        <v>106</v>
      </c>
      <c r="AB67" s="71" t="s">
        <v>109</v>
      </c>
      <c r="AC67" s="71" t="s">
        <v>1081</v>
      </c>
      <c r="AD67" s="71" t="s">
        <v>106</v>
      </c>
      <c r="AF67" s="71" t="s">
        <v>107</v>
      </c>
      <c r="AG67" s="71" t="s">
        <v>1082</v>
      </c>
      <c r="AH67" s="71" t="s">
        <v>106</v>
      </c>
      <c r="AJ67" s="71" t="s">
        <v>106</v>
      </c>
      <c r="AL67" s="71" t="s">
        <v>106</v>
      </c>
      <c r="AN67" s="71" t="s">
        <v>106</v>
      </c>
      <c r="AP67" s="71" t="s">
        <v>107</v>
      </c>
      <c r="AQ67" s="71" t="s">
        <v>1083</v>
      </c>
      <c r="AR67" s="71" t="s">
        <v>106</v>
      </c>
      <c r="AT67" s="71" t="s">
        <v>107</v>
      </c>
      <c r="AU67" s="71" t="s">
        <v>1084</v>
      </c>
      <c r="AV67" s="71" t="s">
        <v>106</v>
      </c>
      <c r="AX67" s="71" t="s">
        <v>106</v>
      </c>
      <c r="AZ67" s="71" t="s">
        <v>106</v>
      </c>
      <c r="BB67" s="71" t="s">
        <v>106</v>
      </c>
      <c r="BD67" s="71" t="s">
        <v>106</v>
      </c>
      <c r="BF67" s="71" t="s">
        <v>106</v>
      </c>
      <c r="BH67" s="71" t="s">
        <v>106</v>
      </c>
      <c r="BJ67" s="71" t="s">
        <v>106</v>
      </c>
      <c r="BL67" s="71" t="s">
        <v>106</v>
      </c>
      <c r="BN67" s="71" t="s">
        <v>106</v>
      </c>
      <c r="BP67" s="71" t="s">
        <v>106</v>
      </c>
      <c r="BR67" s="71" t="s">
        <v>106</v>
      </c>
      <c r="BT67" s="71" t="s">
        <v>107</v>
      </c>
      <c r="BU67" s="71" t="s">
        <v>1085</v>
      </c>
      <c r="BV67" s="71" t="s">
        <v>107</v>
      </c>
      <c r="BW67" s="71" t="s">
        <v>127</v>
      </c>
      <c r="BX67" s="71" t="s">
        <v>107</v>
      </c>
      <c r="BY67" s="71" t="s">
        <v>127</v>
      </c>
      <c r="BZ67" s="71" t="s">
        <v>106</v>
      </c>
      <c r="CB67" s="71" t="s">
        <v>106</v>
      </c>
      <c r="CD67" s="71" t="s">
        <v>106</v>
      </c>
      <c r="CF67" s="71" t="s">
        <v>106</v>
      </c>
      <c r="CH67" s="71" t="s">
        <v>106</v>
      </c>
      <c r="CJ67" s="71" t="s">
        <v>109</v>
      </c>
      <c r="CK67" s="71" t="s">
        <v>1086</v>
      </c>
      <c r="CL67" s="71" t="s">
        <v>106</v>
      </c>
      <c r="CN67" s="71" t="s">
        <v>108</v>
      </c>
      <c r="CP67" s="71" t="s">
        <v>106</v>
      </c>
      <c r="CR67" s="71" t="s">
        <v>107</v>
      </c>
      <c r="CT67" s="71" t="s">
        <v>106</v>
      </c>
      <c r="CV67" s="71" t="s">
        <v>106</v>
      </c>
      <c r="CX67" s="71" t="s">
        <v>845</v>
      </c>
      <c r="CY67" s="71" t="s">
        <v>1087</v>
      </c>
      <c r="CZ67" s="71" t="s">
        <v>1088</v>
      </c>
      <c r="DA67" s="71" t="s">
        <v>1089</v>
      </c>
      <c r="DB67" s="72" t="s">
        <v>1090</v>
      </c>
    </row>
    <row r="68" spans="1:106" ht="13.2" x14ac:dyDescent="0.25">
      <c r="A68" s="77">
        <v>45687.505119131944</v>
      </c>
      <c r="B68" s="73" t="s">
        <v>106</v>
      </c>
      <c r="D68" s="73" t="s">
        <v>106</v>
      </c>
      <c r="F68" s="73" t="s">
        <v>106</v>
      </c>
      <c r="H68" s="73" t="s">
        <v>108</v>
      </c>
      <c r="I68" s="73" t="s">
        <v>1091</v>
      </c>
      <c r="J68" s="73" t="s">
        <v>106</v>
      </c>
      <c r="L68" s="73" t="s">
        <v>106</v>
      </c>
      <c r="M68" s="73" t="s">
        <v>1092</v>
      </c>
      <c r="N68" s="73" t="s">
        <v>107</v>
      </c>
      <c r="O68" s="73" t="s">
        <v>1093</v>
      </c>
      <c r="P68" s="73" t="s">
        <v>107</v>
      </c>
      <c r="Q68" s="73" t="s">
        <v>1094</v>
      </c>
      <c r="R68" s="73" t="s">
        <v>106</v>
      </c>
      <c r="S68" s="73" t="s">
        <v>1095</v>
      </c>
      <c r="T68" s="73" t="s">
        <v>106</v>
      </c>
      <c r="U68" s="73" t="s">
        <v>1096</v>
      </c>
      <c r="V68" s="73" t="s">
        <v>106</v>
      </c>
      <c r="X68" s="73" t="s">
        <v>107</v>
      </c>
      <c r="Y68" s="73" t="s">
        <v>1097</v>
      </c>
      <c r="Z68" s="73" t="s">
        <v>106</v>
      </c>
      <c r="AB68" s="73" t="s">
        <v>106</v>
      </c>
      <c r="AD68" s="73" t="s">
        <v>106</v>
      </c>
      <c r="AE68" s="73" t="s">
        <v>1098</v>
      </c>
      <c r="AF68" s="73" t="s">
        <v>106</v>
      </c>
      <c r="AH68" s="73" t="s">
        <v>108</v>
      </c>
      <c r="AI68" s="73" t="s">
        <v>1099</v>
      </c>
      <c r="AJ68" s="73" t="s">
        <v>106</v>
      </c>
      <c r="AL68" s="73" t="s">
        <v>108</v>
      </c>
      <c r="AM68" s="73" t="s">
        <v>1100</v>
      </c>
      <c r="AN68" s="73" t="s">
        <v>106</v>
      </c>
      <c r="AP68" s="73" t="s">
        <v>106</v>
      </c>
      <c r="AR68" s="73" t="s">
        <v>106</v>
      </c>
      <c r="AT68" s="73" t="s">
        <v>106</v>
      </c>
      <c r="AV68" s="73" t="s">
        <v>106</v>
      </c>
      <c r="AX68" s="73" t="s">
        <v>106</v>
      </c>
      <c r="AZ68" s="73" t="s">
        <v>106</v>
      </c>
      <c r="BB68" s="73" t="s">
        <v>106</v>
      </c>
      <c r="BD68" s="73" t="s">
        <v>106</v>
      </c>
      <c r="BF68" s="73" t="s">
        <v>106</v>
      </c>
      <c r="BH68" s="73" t="s">
        <v>106</v>
      </c>
      <c r="BJ68" s="73" t="s">
        <v>106</v>
      </c>
      <c r="BL68" s="73" t="s">
        <v>106</v>
      </c>
      <c r="BN68" s="73" t="s">
        <v>106</v>
      </c>
      <c r="BP68" s="73" t="s">
        <v>106</v>
      </c>
      <c r="BR68" s="73" t="s">
        <v>106</v>
      </c>
      <c r="BT68" s="73" t="s">
        <v>107</v>
      </c>
      <c r="BU68" s="73" t="s">
        <v>1101</v>
      </c>
      <c r="BV68" s="73" t="s">
        <v>107</v>
      </c>
      <c r="BW68" s="73" t="s">
        <v>1102</v>
      </c>
      <c r="BX68" s="73" t="s">
        <v>106</v>
      </c>
      <c r="BZ68" s="73" t="s">
        <v>106</v>
      </c>
      <c r="CB68" s="73" t="s">
        <v>107</v>
      </c>
      <c r="CC68" s="73" t="s">
        <v>1103</v>
      </c>
      <c r="CD68" s="73" t="s">
        <v>108</v>
      </c>
      <c r="CE68" s="73" t="s">
        <v>1104</v>
      </c>
      <c r="CF68" s="73" t="s">
        <v>106</v>
      </c>
      <c r="CH68" s="73" t="s">
        <v>106</v>
      </c>
      <c r="CJ68" s="73" t="s">
        <v>106</v>
      </c>
      <c r="CK68" s="73" t="s">
        <v>1105</v>
      </c>
      <c r="CL68" s="73" t="s">
        <v>106</v>
      </c>
      <c r="CN68" s="73" t="s">
        <v>106</v>
      </c>
      <c r="CO68" s="73" t="s">
        <v>1106</v>
      </c>
      <c r="CP68" s="73" t="s">
        <v>107</v>
      </c>
      <c r="CQ68" s="73" t="s">
        <v>1107</v>
      </c>
      <c r="CR68" s="73" t="s">
        <v>106</v>
      </c>
      <c r="CS68" s="73" t="s">
        <v>1108</v>
      </c>
      <c r="CT68" s="73" t="s">
        <v>106</v>
      </c>
      <c r="CV68" s="73" t="s">
        <v>106</v>
      </c>
      <c r="CX68" s="73" t="s">
        <v>1109</v>
      </c>
      <c r="CY68" s="73" t="s">
        <v>1110</v>
      </c>
      <c r="CZ68" s="73" t="s">
        <v>1111</v>
      </c>
      <c r="DA68" s="73" t="s">
        <v>1112</v>
      </c>
      <c r="DB68" s="74" t="s">
        <v>1113</v>
      </c>
    </row>
    <row r="69" spans="1:106" ht="13.2" x14ac:dyDescent="0.25">
      <c r="A69" s="78">
        <v>45687.51124310185</v>
      </c>
      <c r="B69" s="71" t="s">
        <v>107</v>
      </c>
      <c r="C69" s="71" t="s">
        <v>1114</v>
      </c>
      <c r="D69" s="71" t="s">
        <v>106</v>
      </c>
      <c r="E69" s="71" t="s">
        <v>1115</v>
      </c>
      <c r="F69" s="71" t="s">
        <v>106</v>
      </c>
      <c r="G69" s="71" t="s">
        <v>1116</v>
      </c>
      <c r="H69" s="71" t="s">
        <v>106</v>
      </c>
      <c r="I69" s="71" t="s">
        <v>1117</v>
      </c>
      <c r="J69" s="71" t="s">
        <v>106</v>
      </c>
      <c r="L69" s="71" t="s">
        <v>106</v>
      </c>
      <c r="N69" s="71" t="s">
        <v>107</v>
      </c>
      <c r="O69" s="71" t="s">
        <v>1118</v>
      </c>
      <c r="P69" s="71" t="s">
        <v>106</v>
      </c>
      <c r="R69" s="71" t="s">
        <v>106</v>
      </c>
      <c r="S69" s="71" t="s">
        <v>1119</v>
      </c>
      <c r="T69" s="71" t="s">
        <v>108</v>
      </c>
      <c r="U69" s="71" t="s">
        <v>1120</v>
      </c>
      <c r="V69" s="71" t="s">
        <v>106</v>
      </c>
      <c r="X69" s="71" t="s">
        <v>106</v>
      </c>
      <c r="Z69" s="71" t="s">
        <v>108</v>
      </c>
      <c r="AB69" s="71" t="s">
        <v>106</v>
      </c>
      <c r="AD69" s="71" t="s">
        <v>108</v>
      </c>
      <c r="AF69" s="71" t="s">
        <v>106</v>
      </c>
      <c r="AH69" s="71" t="s">
        <v>108</v>
      </c>
      <c r="AJ69" s="71" t="s">
        <v>106</v>
      </c>
      <c r="AL69" s="71" t="s">
        <v>108</v>
      </c>
      <c r="AN69" s="71" t="s">
        <v>108</v>
      </c>
      <c r="AP69" s="71" t="s">
        <v>108</v>
      </c>
      <c r="AR69" s="71" t="s">
        <v>108</v>
      </c>
      <c r="AT69" s="71" t="s">
        <v>106</v>
      </c>
      <c r="AV69" s="71" t="s">
        <v>106</v>
      </c>
      <c r="AX69" s="71" t="s">
        <v>108</v>
      </c>
      <c r="AZ69" s="71" t="s">
        <v>108</v>
      </c>
      <c r="BB69" s="71" t="s">
        <v>108</v>
      </c>
      <c r="BD69" s="71" t="s">
        <v>108</v>
      </c>
      <c r="BF69" s="71" t="s">
        <v>106</v>
      </c>
      <c r="BH69" s="71" t="s">
        <v>106</v>
      </c>
      <c r="BJ69" s="71" t="s">
        <v>106</v>
      </c>
      <c r="BL69" s="71" t="s">
        <v>108</v>
      </c>
      <c r="BN69" s="71" t="s">
        <v>106</v>
      </c>
      <c r="BP69" s="71" t="s">
        <v>106</v>
      </c>
      <c r="BR69" s="71" t="s">
        <v>108</v>
      </c>
      <c r="BT69" s="71" t="s">
        <v>109</v>
      </c>
      <c r="BV69" s="71" t="s">
        <v>106</v>
      </c>
      <c r="BX69" s="71" t="s">
        <v>106</v>
      </c>
      <c r="BZ69" s="71" t="s">
        <v>107</v>
      </c>
      <c r="CB69" s="71" t="s">
        <v>107</v>
      </c>
      <c r="CD69" s="71" t="s">
        <v>108</v>
      </c>
      <c r="CF69" s="71" t="s">
        <v>108</v>
      </c>
      <c r="CH69" s="71" t="s">
        <v>108</v>
      </c>
      <c r="CJ69" s="71" t="s">
        <v>106</v>
      </c>
      <c r="CL69" s="71" t="s">
        <v>107</v>
      </c>
      <c r="CM69" s="71" t="s">
        <v>1121</v>
      </c>
      <c r="CN69" s="71" t="s">
        <v>107</v>
      </c>
      <c r="CP69" s="71" t="s">
        <v>106</v>
      </c>
      <c r="CQ69" s="71" t="s">
        <v>1122</v>
      </c>
      <c r="CR69" s="71" t="s">
        <v>106</v>
      </c>
      <c r="CS69" s="71" t="s">
        <v>1123</v>
      </c>
      <c r="CT69" s="71" t="s">
        <v>106</v>
      </c>
      <c r="CV69" s="71" t="s">
        <v>106</v>
      </c>
      <c r="CX69" s="71" t="s">
        <v>508</v>
      </c>
      <c r="CZ69" s="71" t="s">
        <v>1124</v>
      </c>
      <c r="DA69" s="71" t="s">
        <v>1125</v>
      </c>
      <c r="DB69" s="72" t="s">
        <v>129</v>
      </c>
    </row>
    <row r="70" spans="1:106" ht="13.2" x14ac:dyDescent="0.25">
      <c r="A70" s="68">
        <v>45687.521137314819</v>
      </c>
      <c r="B70" s="71" t="s">
        <v>106</v>
      </c>
      <c r="D70" s="71" t="s">
        <v>106</v>
      </c>
      <c r="E70" s="71" t="s">
        <v>1126</v>
      </c>
      <c r="F70" s="71" t="s">
        <v>106</v>
      </c>
      <c r="H70" s="71" t="s">
        <v>108</v>
      </c>
      <c r="J70" s="71" t="s">
        <v>106</v>
      </c>
      <c r="L70" s="71" t="s">
        <v>106</v>
      </c>
      <c r="N70" s="71" t="s">
        <v>107</v>
      </c>
      <c r="O70" s="71" t="s">
        <v>1127</v>
      </c>
      <c r="P70" s="71" t="s">
        <v>109</v>
      </c>
      <c r="Q70" s="71" t="s">
        <v>1128</v>
      </c>
      <c r="R70" s="71" t="s">
        <v>106</v>
      </c>
      <c r="S70" s="71" t="s">
        <v>1129</v>
      </c>
      <c r="T70" s="71" t="s">
        <v>108</v>
      </c>
      <c r="V70" s="71" t="s">
        <v>106</v>
      </c>
      <c r="W70" s="71" t="s">
        <v>1130</v>
      </c>
      <c r="X70" s="71" t="s">
        <v>107</v>
      </c>
      <c r="Y70" s="71" t="s">
        <v>1131</v>
      </c>
      <c r="Z70" s="71" t="s">
        <v>106</v>
      </c>
      <c r="AB70" s="71" t="s">
        <v>106</v>
      </c>
      <c r="AD70" s="71" t="s">
        <v>108</v>
      </c>
      <c r="AF70" s="71" t="s">
        <v>109</v>
      </c>
      <c r="AG70" s="71" t="s">
        <v>1132</v>
      </c>
      <c r="AH70" s="71" t="s">
        <v>108</v>
      </c>
      <c r="AJ70" s="71" t="s">
        <v>108</v>
      </c>
      <c r="AL70" s="71" t="s">
        <v>108</v>
      </c>
      <c r="AN70" s="71" t="s">
        <v>108</v>
      </c>
      <c r="AP70" s="71" t="s">
        <v>108</v>
      </c>
      <c r="AR70" s="71" t="s">
        <v>108</v>
      </c>
      <c r="AT70" s="71" t="s">
        <v>108</v>
      </c>
      <c r="AV70" s="71" t="s">
        <v>106</v>
      </c>
      <c r="AW70" s="71" t="s">
        <v>1133</v>
      </c>
      <c r="AX70" s="71" t="s">
        <v>106</v>
      </c>
      <c r="AY70" s="71" t="s">
        <v>1134</v>
      </c>
      <c r="AZ70" s="71" t="s">
        <v>108</v>
      </c>
      <c r="BB70" s="71" t="s">
        <v>108</v>
      </c>
      <c r="BD70" s="71" t="s">
        <v>106</v>
      </c>
      <c r="BF70" s="71" t="s">
        <v>106</v>
      </c>
      <c r="BH70" s="71" t="s">
        <v>108</v>
      </c>
      <c r="BJ70" s="71" t="s">
        <v>106</v>
      </c>
      <c r="BK70" s="71" t="s">
        <v>1135</v>
      </c>
      <c r="BL70" s="71" t="s">
        <v>108</v>
      </c>
      <c r="BN70" s="71" t="s">
        <v>106</v>
      </c>
      <c r="BO70" s="71" t="s">
        <v>1136</v>
      </c>
      <c r="BP70" s="71" t="s">
        <v>108</v>
      </c>
      <c r="BR70" s="71" t="s">
        <v>108</v>
      </c>
      <c r="BT70" s="71" t="s">
        <v>109</v>
      </c>
      <c r="BV70" s="71" t="s">
        <v>106</v>
      </c>
      <c r="BX70" s="71" t="s">
        <v>106</v>
      </c>
      <c r="BZ70" s="71" t="s">
        <v>109</v>
      </c>
      <c r="CA70" s="71" t="s">
        <v>1137</v>
      </c>
      <c r="CB70" s="71" t="s">
        <v>108</v>
      </c>
      <c r="CC70" s="71" t="s">
        <v>1138</v>
      </c>
      <c r="CD70" s="71" t="s">
        <v>106</v>
      </c>
      <c r="CF70" s="71" t="s">
        <v>106</v>
      </c>
      <c r="CH70" s="71" t="s">
        <v>106</v>
      </c>
      <c r="CJ70" s="71" t="s">
        <v>107</v>
      </c>
      <c r="CK70" s="71" t="s">
        <v>1139</v>
      </c>
      <c r="CL70" s="71" t="s">
        <v>106</v>
      </c>
      <c r="CN70" s="71" t="s">
        <v>108</v>
      </c>
      <c r="CP70" s="71" t="s">
        <v>107</v>
      </c>
      <c r="CR70" s="71" t="s">
        <v>106</v>
      </c>
      <c r="CS70" s="71" t="s">
        <v>1140</v>
      </c>
      <c r="CT70" s="71" t="s">
        <v>106</v>
      </c>
      <c r="CV70" s="71" t="s">
        <v>106</v>
      </c>
      <c r="CX70" s="71" t="s">
        <v>270</v>
      </c>
      <c r="CY70" s="71" t="s">
        <v>1141</v>
      </c>
      <c r="CZ70" s="71" t="s">
        <v>1142</v>
      </c>
      <c r="DA70" s="71" t="s">
        <v>1143</v>
      </c>
      <c r="DB70" s="72" t="s">
        <v>1144</v>
      </c>
    </row>
    <row r="71" spans="1:106" ht="13.2" x14ac:dyDescent="0.25">
      <c r="A71" s="69">
        <v>45687.535230844907</v>
      </c>
      <c r="B71" s="73" t="s">
        <v>106</v>
      </c>
      <c r="C71" s="73" t="s">
        <v>1145</v>
      </c>
      <c r="D71" s="73" t="s">
        <v>106</v>
      </c>
      <c r="E71" s="73" t="s">
        <v>1146</v>
      </c>
      <c r="F71" s="73" t="s">
        <v>106</v>
      </c>
      <c r="H71" s="73" t="s">
        <v>106</v>
      </c>
      <c r="J71" s="73" t="s">
        <v>106</v>
      </c>
      <c r="L71" s="73" t="s">
        <v>106</v>
      </c>
      <c r="N71" s="73" t="s">
        <v>106</v>
      </c>
      <c r="P71" s="73" t="s">
        <v>107</v>
      </c>
      <c r="Q71" s="73" t="s">
        <v>1147</v>
      </c>
      <c r="R71" s="73" t="s">
        <v>106</v>
      </c>
      <c r="T71" s="73" t="s">
        <v>106</v>
      </c>
      <c r="V71" s="73" t="s">
        <v>106</v>
      </c>
      <c r="X71" s="73" t="s">
        <v>106</v>
      </c>
      <c r="Z71" s="73" t="s">
        <v>106</v>
      </c>
      <c r="AB71" s="73" t="s">
        <v>106</v>
      </c>
      <c r="AD71" s="73" t="s">
        <v>106</v>
      </c>
      <c r="AF71" s="73" t="s">
        <v>106</v>
      </c>
      <c r="AH71" s="73" t="s">
        <v>106</v>
      </c>
      <c r="AJ71" s="73" t="s">
        <v>106</v>
      </c>
      <c r="AL71" s="73" t="s">
        <v>106</v>
      </c>
      <c r="AN71" s="73" t="s">
        <v>106</v>
      </c>
      <c r="AP71" s="73" t="s">
        <v>106</v>
      </c>
      <c r="AR71" s="73" t="s">
        <v>106</v>
      </c>
      <c r="AT71" s="73" t="s">
        <v>106</v>
      </c>
      <c r="AV71" s="73" t="s">
        <v>106</v>
      </c>
      <c r="AX71" s="73" t="s">
        <v>106</v>
      </c>
      <c r="AZ71" s="73" t="s">
        <v>106</v>
      </c>
      <c r="BB71" s="73" t="s">
        <v>106</v>
      </c>
      <c r="BD71" s="73" t="s">
        <v>106</v>
      </c>
      <c r="BF71" s="73" t="s">
        <v>106</v>
      </c>
      <c r="BH71" s="73" t="s">
        <v>106</v>
      </c>
      <c r="BJ71" s="73" t="s">
        <v>106</v>
      </c>
      <c r="BL71" s="73" t="s">
        <v>106</v>
      </c>
      <c r="BN71" s="73" t="s">
        <v>106</v>
      </c>
      <c r="BP71" s="73" t="s">
        <v>106</v>
      </c>
      <c r="BR71" s="73" t="s">
        <v>106</v>
      </c>
      <c r="BT71" s="73" t="s">
        <v>107</v>
      </c>
      <c r="BU71" s="73" t="s">
        <v>1148</v>
      </c>
      <c r="BV71" s="73" t="s">
        <v>106</v>
      </c>
      <c r="BX71" s="73" t="s">
        <v>106</v>
      </c>
      <c r="BZ71" s="73" t="s">
        <v>106</v>
      </c>
      <c r="CB71" s="73" t="s">
        <v>107</v>
      </c>
      <c r="CC71" s="73" t="s">
        <v>1149</v>
      </c>
      <c r="CD71" s="73" t="s">
        <v>106</v>
      </c>
      <c r="CF71" s="73" t="s">
        <v>106</v>
      </c>
      <c r="CH71" s="73" t="s">
        <v>106</v>
      </c>
      <c r="CJ71" s="73" t="s">
        <v>106</v>
      </c>
      <c r="CL71" s="73" t="s">
        <v>106</v>
      </c>
      <c r="CN71" s="73" t="s">
        <v>106</v>
      </c>
      <c r="CP71" s="73" t="s">
        <v>107</v>
      </c>
      <c r="CQ71" s="73" t="s">
        <v>1150</v>
      </c>
      <c r="CR71" s="73" t="s">
        <v>106</v>
      </c>
      <c r="CT71" s="73" t="s">
        <v>106</v>
      </c>
      <c r="CV71" s="73" t="s">
        <v>106</v>
      </c>
      <c r="CX71" s="73" t="s">
        <v>1151</v>
      </c>
      <c r="CY71" s="73" t="s">
        <v>1152</v>
      </c>
      <c r="CZ71" s="73" t="s">
        <v>1153</v>
      </c>
      <c r="DA71" s="73" t="s">
        <v>1154</v>
      </c>
      <c r="DB71" s="74" t="s">
        <v>1155</v>
      </c>
    </row>
    <row r="72" spans="1:106" ht="13.2" x14ac:dyDescent="0.25">
      <c r="A72" s="68">
        <v>45687.536416909723</v>
      </c>
      <c r="B72" s="71" t="s">
        <v>106</v>
      </c>
      <c r="D72" s="71" t="s">
        <v>106</v>
      </c>
      <c r="F72" s="71" t="s">
        <v>106</v>
      </c>
      <c r="H72" s="71" t="s">
        <v>106</v>
      </c>
      <c r="J72" s="71" t="s">
        <v>106</v>
      </c>
      <c r="L72" s="71" t="s">
        <v>106</v>
      </c>
      <c r="N72" s="71" t="s">
        <v>106</v>
      </c>
      <c r="P72" s="71" t="s">
        <v>106</v>
      </c>
      <c r="R72" s="71" t="s">
        <v>106</v>
      </c>
      <c r="T72" s="71" t="s">
        <v>106</v>
      </c>
      <c r="V72" s="71" t="s">
        <v>106</v>
      </c>
      <c r="X72" s="71" t="s">
        <v>106</v>
      </c>
      <c r="Z72" s="71" t="s">
        <v>106</v>
      </c>
      <c r="AB72" s="71" t="s">
        <v>106</v>
      </c>
      <c r="AD72" s="71" t="s">
        <v>106</v>
      </c>
      <c r="AF72" s="71" t="s">
        <v>106</v>
      </c>
      <c r="AH72" s="71" t="s">
        <v>106</v>
      </c>
      <c r="AJ72" s="71" t="s">
        <v>108</v>
      </c>
      <c r="AL72" s="71" t="s">
        <v>108</v>
      </c>
      <c r="AN72" s="71" t="s">
        <v>108</v>
      </c>
      <c r="AP72" s="71" t="s">
        <v>106</v>
      </c>
      <c r="AR72" s="71" t="s">
        <v>108</v>
      </c>
      <c r="AT72" s="71" t="s">
        <v>108</v>
      </c>
      <c r="AV72" s="71" t="s">
        <v>108</v>
      </c>
      <c r="AX72" s="71" t="s">
        <v>108</v>
      </c>
      <c r="AZ72" s="71" t="s">
        <v>108</v>
      </c>
      <c r="BB72" s="71" t="s">
        <v>108</v>
      </c>
      <c r="BD72" s="71" t="s">
        <v>108</v>
      </c>
      <c r="BF72" s="71" t="s">
        <v>106</v>
      </c>
      <c r="BH72" s="71" t="s">
        <v>108</v>
      </c>
      <c r="BJ72" s="71" t="s">
        <v>108</v>
      </c>
      <c r="BL72" s="71" t="s">
        <v>108</v>
      </c>
      <c r="BN72" s="71" t="s">
        <v>108</v>
      </c>
      <c r="BP72" s="71" t="s">
        <v>108</v>
      </c>
      <c r="BR72" s="71" t="s">
        <v>108</v>
      </c>
      <c r="BT72" s="71" t="s">
        <v>109</v>
      </c>
      <c r="BU72" s="71" t="s">
        <v>1156</v>
      </c>
      <c r="BV72" s="71" t="s">
        <v>106</v>
      </c>
      <c r="BX72" s="71" t="s">
        <v>106</v>
      </c>
      <c r="BZ72" s="71" t="s">
        <v>106</v>
      </c>
      <c r="CB72" s="71" t="s">
        <v>107</v>
      </c>
      <c r="CC72" s="71" t="s">
        <v>1157</v>
      </c>
      <c r="CD72" s="71" t="s">
        <v>106</v>
      </c>
      <c r="CF72" s="71" t="s">
        <v>106</v>
      </c>
      <c r="CH72" s="71" t="s">
        <v>106</v>
      </c>
      <c r="CJ72" s="71" t="s">
        <v>106</v>
      </c>
      <c r="CL72" s="71" t="s">
        <v>106</v>
      </c>
      <c r="CN72" s="71" t="s">
        <v>107</v>
      </c>
      <c r="CO72" s="71" t="s">
        <v>1158</v>
      </c>
      <c r="CP72" s="71" t="s">
        <v>107</v>
      </c>
      <c r="CQ72" s="71" t="s">
        <v>1159</v>
      </c>
      <c r="CR72" s="71" t="s">
        <v>108</v>
      </c>
      <c r="CT72" s="71" t="s">
        <v>106</v>
      </c>
      <c r="CV72" s="71" t="s">
        <v>106</v>
      </c>
      <c r="CX72" s="71" t="s">
        <v>1160</v>
      </c>
      <c r="CZ72" s="71" t="s">
        <v>1161</v>
      </c>
      <c r="DA72" s="71" t="s">
        <v>1162</v>
      </c>
      <c r="DB72" s="72" t="s">
        <v>1163</v>
      </c>
    </row>
    <row r="73" spans="1:106" ht="13.2" x14ac:dyDescent="0.25">
      <c r="A73" s="69">
        <v>45687.555159166666</v>
      </c>
      <c r="B73" s="73" t="s">
        <v>106</v>
      </c>
      <c r="D73" s="73" t="s">
        <v>106</v>
      </c>
      <c r="F73" s="73" t="s">
        <v>107</v>
      </c>
      <c r="H73" s="73" t="s">
        <v>107</v>
      </c>
      <c r="I73" s="73" t="s">
        <v>1164</v>
      </c>
      <c r="J73" s="73" t="s">
        <v>107</v>
      </c>
      <c r="L73" s="73" t="s">
        <v>106</v>
      </c>
      <c r="M73" s="73" t="s">
        <v>1165</v>
      </c>
      <c r="N73" s="73" t="s">
        <v>107</v>
      </c>
      <c r="P73" s="73" t="s">
        <v>106</v>
      </c>
      <c r="R73" s="73" t="s">
        <v>106</v>
      </c>
      <c r="T73" s="73" t="s">
        <v>106</v>
      </c>
      <c r="U73" s="73" t="s">
        <v>1166</v>
      </c>
      <c r="V73" s="73" t="s">
        <v>106</v>
      </c>
      <c r="X73" s="73" t="s">
        <v>107</v>
      </c>
      <c r="Z73" s="73" t="s">
        <v>106</v>
      </c>
      <c r="AB73" s="73" t="s">
        <v>107</v>
      </c>
      <c r="AD73" s="73" t="s">
        <v>107</v>
      </c>
      <c r="AE73" s="73" t="s">
        <v>1167</v>
      </c>
      <c r="AF73" s="73" t="s">
        <v>106</v>
      </c>
      <c r="AG73" s="73" t="s">
        <v>1168</v>
      </c>
      <c r="AH73" s="73" t="s">
        <v>106</v>
      </c>
      <c r="AJ73" s="73" t="s">
        <v>107</v>
      </c>
      <c r="AK73" s="73" t="s">
        <v>1169</v>
      </c>
      <c r="AL73" s="73" t="s">
        <v>107</v>
      </c>
      <c r="AM73" s="73" t="s">
        <v>1170</v>
      </c>
      <c r="AN73" s="73" t="s">
        <v>107</v>
      </c>
      <c r="AO73" s="73" t="s">
        <v>1171</v>
      </c>
      <c r="AP73" s="73" t="s">
        <v>107</v>
      </c>
      <c r="AR73" s="73" t="s">
        <v>106</v>
      </c>
      <c r="AS73" s="73" t="s">
        <v>126</v>
      </c>
      <c r="AT73" s="73" t="s">
        <v>107</v>
      </c>
      <c r="AV73" s="73" t="s">
        <v>107</v>
      </c>
      <c r="AX73" s="73" t="s">
        <v>106</v>
      </c>
      <c r="AY73" s="73" t="s">
        <v>1172</v>
      </c>
      <c r="AZ73" s="73" t="s">
        <v>107</v>
      </c>
      <c r="BB73" s="73" t="s">
        <v>107</v>
      </c>
      <c r="BD73" s="73" t="s">
        <v>107</v>
      </c>
      <c r="BF73" s="73" t="s">
        <v>106</v>
      </c>
      <c r="BH73" s="73" t="s">
        <v>107</v>
      </c>
      <c r="BJ73" s="73" t="s">
        <v>107</v>
      </c>
      <c r="BL73" s="73" t="s">
        <v>107</v>
      </c>
      <c r="BN73" s="73" t="s">
        <v>107</v>
      </c>
      <c r="BP73" s="73" t="s">
        <v>106</v>
      </c>
      <c r="BR73" s="73" t="s">
        <v>106</v>
      </c>
      <c r="BT73" s="73" t="s">
        <v>107</v>
      </c>
      <c r="BV73" s="73" t="s">
        <v>106</v>
      </c>
      <c r="BW73" s="73" t="s">
        <v>1173</v>
      </c>
      <c r="BX73" s="73" t="s">
        <v>106</v>
      </c>
      <c r="BZ73" s="73" t="s">
        <v>107</v>
      </c>
      <c r="CA73" s="73" t="s">
        <v>1174</v>
      </c>
      <c r="CB73" s="73" t="s">
        <v>106</v>
      </c>
      <c r="CD73" s="73" t="s">
        <v>108</v>
      </c>
      <c r="CE73" s="73" t="s">
        <v>1175</v>
      </c>
      <c r="CF73" s="73" t="s">
        <v>108</v>
      </c>
      <c r="CG73" s="73" t="s">
        <v>1176</v>
      </c>
      <c r="CH73" s="73" t="s">
        <v>108</v>
      </c>
      <c r="CJ73" s="73" t="s">
        <v>106</v>
      </c>
      <c r="CL73" s="73" t="s">
        <v>108</v>
      </c>
      <c r="CN73" s="73" t="s">
        <v>108</v>
      </c>
      <c r="CP73" s="73" t="s">
        <v>106</v>
      </c>
      <c r="CR73" s="73" t="s">
        <v>108</v>
      </c>
      <c r="CS73" s="73" t="s">
        <v>1177</v>
      </c>
      <c r="CT73" s="73" t="s">
        <v>107</v>
      </c>
      <c r="CV73" s="73" t="s">
        <v>106</v>
      </c>
      <c r="CX73" s="73" t="s">
        <v>1178</v>
      </c>
      <c r="CY73" s="73" t="s">
        <v>1179</v>
      </c>
      <c r="CZ73" s="73" t="s">
        <v>1180</v>
      </c>
      <c r="DA73" s="73" t="s">
        <v>1181</v>
      </c>
      <c r="DB73" s="74" t="s">
        <v>1182</v>
      </c>
    </row>
    <row r="74" spans="1:106" ht="13.2" x14ac:dyDescent="0.25">
      <c r="A74" s="68">
        <v>45687.564411643514</v>
      </c>
      <c r="B74" s="71" t="s">
        <v>106</v>
      </c>
      <c r="D74" s="71" t="s">
        <v>106</v>
      </c>
      <c r="F74" s="71" t="s">
        <v>106</v>
      </c>
      <c r="H74" s="71" t="s">
        <v>108</v>
      </c>
      <c r="J74" s="71" t="s">
        <v>108</v>
      </c>
      <c r="L74" s="71" t="s">
        <v>108</v>
      </c>
      <c r="N74" s="71" t="s">
        <v>106</v>
      </c>
      <c r="P74" s="71" t="s">
        <v>107</v>
      </c>
      <c r="Q74" s="71" t="s">
        <v>1183</v>
      </c>
      <c r="R74" s="71" t="s">
        <v>106</v>
      </c>
      <c r="T74" s="71" t="s">
        <v>108</v>
      </c>
      <c r="V74" s="71" t="s">
        <v>108</v>
      </c>
      <c r="X74" s="71" t="s">
        <v>107</v>
      </c>
      <c r="Z74" s="71" t="s">
        <v>108</v>
      </c>
      <c r="AB74" s="71" t="s">
        <v>106</v>
      </c>
      <c r="AD74" s="71" t="s">
        <v>108</v>
      </c>
      <c r="AF74" s="71" t="s">
        <v>106</v>
      </c>
      <c r="AH74" s="71" t="s">
        <v>107</v>
      </c>
      <c r="AJ74" s="71" t="s">
        <v>106</v>
      </c>
      <c r="AK74" s="71" t="s">
        <v>1184</v>
      </c>
      <c r="AL74" s="71" t="s">
        <v>107</v>
      </c>
      <c r="AM74" s="71" t="s">
        <v>1184</v>
      </c>
      <c r="AN74" s="71" t="s">
        <v>108</v>
      </c>
      <c r="AP74" s="71" t="s">
        <v>108</v>
      </c>
      <c r="AR74" s="71" t="s">
        <v>106</v>
      </c>
      <c r="AT74" s="71" t="s">
        <v>108</v>
      </c>
      <c r="AV74" s="71" t="s">
        <v>107</v>
      </c>
      <c r="AW74" s="71" t="s">
        <v>1185</v>
      </c>
      <c r="AX74" s="71" t="s">
        <v>108</v>
      </c>
      <c r="AZ74" s="71" t="s">
        <v>106</v>
      </c>
      <c r="BB74" s="71" t="s">
        <v>108</v>
      </c>
      <c r="BD74" s="71" t="s">
        <v>106</v>
      </c>
      <c r="BF74" s="71" t="s">
        <v>107</v>
      </c>
      <c r="BH74" s="71" t="s">
        <v>106</v>
      </c>
      <c r="BJ74" s="71" t="s">
        <v>106</v>
      </c>
      <c r="BL74" s="71" t="s">
        <v>106</v>
      </c>
      <c r="BN74" s="71" t="s">
        <v>107</v>
      </c>
      <c r="BP74" s="71" t="s">
        <v>108</v>
      </c>
      <c r="BR74" s="71" t="s">
        <v>106</v>
      </c>
      <c r="BT74" s="71" t="s">
        <v>106</v>
      </c>
      <c r="BV74" s="71" t="s">
        <v>108</v>
      </c>
      <c r="BX74" s="71" t="s">
        <v>106</v>
      </c>
      <c r="BZ74" s="71" t="s">
        <v>107</v>
      </c>
      <c r="CB74" s="71" t="s">
        <v>107</v>
      </c>
      <c r="CD74" s="71" t="s">
        <v>106</v>
      </c>
      <c r="CF74" s="71" t="s">
        <v>106</v>
      </c>
      <c r="CH74" s="71" t="s">
        <v>106</v>
      </c>
      <c r="CJ74" s="71" t="s">
        <v>106</v>
      </c>
      <c r="CK74" s="71" t="s">
        <v>1186</v>
      </c>
      <c r="CL74" s="71" t="s">
        <v>106</v>
      </c>
      <c r="CN74" s="71" t="s">
        <v>106</v>
      </c>
      <c r="CP74" s="71" t="s">
        <v>106</v>
      </c>
      <c r="CR74" s="71" t="s">
        <v>107</v>
      </c>
      <c r="CS74" s="71" t="s">
        <v>1187</v>
      </c>
      <c r="CT74" s="71" t="s">
        <v>106</v>
      </c>
      <c r="CV74" s="71" t="s">
        <v>106</v>
      </c>
      <c r="CX74" s="71" t="s">
        <v>1188</v>
      </c>
      <c r="CZ74" s="71" t="s">
        <v>1189</v>
      </c>
      <c r="DA74" s="71" t="s">
        <v>1190</v>
      </c>
      <c r="DB74" s="72" t="s">
        <v>1191</v>
      </c>
    </row>
    <row r="75" spans="1:106" ht="13.2" x14ac:dyDescent="0.25">
      <c r="A75" s="69">
        <v>45687.567595231478</v>
      </c>
      <c r="B75" s="73" t="s">
        <v>106</v>
      </c>
      <c r="D75" s="73" t="s">
        <v>106</v>
      </c>
      <c r="F75" s="73" t="s">
        <v>107</v>
      </c>
      <c r="H75" s="73" t="s">
        <v>107</v>
      </c>
      <c r="J75" s="73" t="s">
        <v>107</v>
      </c>
      <c r="L75" s="73" t="s">
        <v>107</v>
      </c>
      <c r="N75" s="73" t="s">
        <v>107</v>
      </c>
      <c r="P75" s="73" t="s">
        <v>107</v>
      </c>
      <c r="R75" s="73" t="s">
        <v>106</v>
      </c>
      <c r="T75" s="73" t="s">
        <v>109</v>
      </c>
      <c r="V75" s="73" t="s">
        <v>106</v>
      </c>
      <c r="X75" s="73" t="s">
        <v>108</v>
      </c>
      <c r="Z75" s="73" t="s">
        <v>106</v>
      </c>
      <c r="AB75" s="73" t="s">
        <v>107</v>
      </c>
      <c r="AD75" s="73" t="s">
        <v>106</v>
      </c>
      <c r="AF75" s="73" t="s">
        <v>107</v>
      </c>
      <c r="AH75" s="73" t="s">
        <v>106</v>
      </c>
      <c r="AJ75" s="73" t="s">
        <v>107</v>
      </c>
      <c r="AK75" s="73" t="s">
        <v>1192</v>
      </c>
      <c r="AL75" s="73" t="s">
        <v>106</v>
      </c>
      <c r="AN75" s="73" t="s">
        <v>106</v>
      </c>
      <c r="AP75" s="73" t="s">
        <v>108</v>
      </c>
      <c r="AR75" s="73" t="s">
        <v>108</v>
      </c>
      <c r="AT75" s="73" t="s">
        <v>107</v>
      </c>
      <c r="AV75" s="73" t="s">
        <v>107</v>
      </c>
      <c r="AX75" s="73" t="s">
        <v>108</v>
      </c>
      <c r="AZ75" s="73" t="s">
        <v>107</v>
      </c>
      <c r="BB75" s="73" t="s">
        <v>106</v>
      </c>
      <c r="BD75" s="73" t="s">
        <v>106</v>
      </c>
      <c r="BF75" s="73" t="s">
        <v>107</v>
      </c>
      <c r="BH75" s="73" t="s">
        <v>107</v>
      </c>
      <c r="BJ75" s="73" t="s">
        <v>106</v>
      </c>
      <c r="BL75" s="73" t="s">
        <v>107</v>
      </c>
      <c r="BN75" s="73" t="s">
        <v>108</v>
      </c>
      <c r="BP75" s="73" t="s">
        <v>108</v>
      </c>
      <c r="BR75" s="73" t="s">
        <v>106</v>
      </c>
      <c r="BT75" s="73" t="s">
        <v>107</v>
      </c>
      <c r="BV75" s="73" t="s">
        <v>107</v>
      </c>
      <c r="BX75" s="73" t="s">
        <v>107</v>
      </c>
      <c r="BZ75" s="73" t="s">
        <v>107</v>
      </c>
      <c r="CB75" s="73" t="s">
        <v>106</v>
      </c>
      <c r="CD75" s="73" t="s">
        <v>107</v>
      </c>
      <c r="CF75" s="73" t="s">
        <v>106</v>
      </c>
      <c r="CH75" s="73" t="s">
        <v>108</v>
      </c>
      <c r="CJ75" s="73" t="s">
        <v>107</v>
      </c>
      <c r="CL75" s="73" t="s">
        <v>106</v>
      </c>
      <c r="CN75" s="73" t="s">
        <v>106</v>
      </c>
      <c r="CP75" s="73" t="s">
        <v>106</v>
      </c>
      <c r="CR75" s="73" t="s">
        <v>107</v>
      </c>
      <c r="CT75" s="73" t="s">
        <v>107</v>
      </c>
      <c r="CV75" s="73" t="s">
        <v>106</v>
      </c>
      <c r="CX75" s="73" t="s">
        <v>1193</v>
      </c>
      <c r="CZ75" s="73" t="s">
        <v>1194</v>
      </c>
      <c r="DA75" s="73" t="s">
        <v>1195</v>
      </c>
      <c r="DB75" s="74" t="s">
        <v>1196</v>
      </c>
    </row>
    <row r="76" spans="1:106" ht="13.2" x14ac:dyDescent="0.25">
      <c r="A76" s="68">
        <v>45687.581960729163</v>
      </c>
      <c r="B76" s="71" t="s">
        <v>108</v>
      </c>
      <c r="D76" s="71" t="s">
        <v>108</v>
      </c>
      <c r="F76" s="71" t="s">
        <v>108</v>
      </c>
      <c r="H76" s="71" t="s">
        <v>108</v>
      </c>
      <c r="J76" s="71" t="s">
        <v>108</v>
      </c>
      <c r="L76" s="71" t="s">
        <v>108</v>
      </c>
      <c r="N76" s="71" t="s">
        <v>108</v>
      </c>
      <c r="P76" s="71" t="s">
        <v>106</v>
      </c>
      <c r="R76" s="71" t="s">
        <v>108</v>
      </c>
      <c r="T76" s="71" t="s">
        <v>108</v>
      </c>
      <c r="V76" s="71" t="s">
        <v>108</v>
      </c>
      <c r="X76" s="71" t="s">
        <v>106</v>
      </c>
      <c r="Z76" s="71" t="s">
        <v>108</v>
      </c>
      <c r="AB76" s="71" t="s">
        <v>106</v>
      </c>
      <c r="AD76" s="71" t="s">
        <v>106</v>
      </c>
      <c r="AF76" s="71" t="s">
        <v>106</v>
      </c>
      <c r="AH76" s="71" t="s">
        <v>108</v>
      </c>
      <c r="AJ76" s="71" t="s">
        <v>108</v>
      </c>
      <c r="AL76" s="71" t="s">
        <v>108</v>
      </c>
      <c r="AN76" s="71" t="s">
        <v>108</v>
      </c>
      <c r="AP76" s="71" t="s">
        <v>108</v>
      </c>
      <c r="AR76" s="71" t="s">
        <v>108</v>
      </c>
      <c r="AT76" s="71" t="s">
        <v>108</v>
      </c>
      <c r="AV76" s="71" t="s">
        <v>108</v>
      </c>
      <c r="AX76" s="71" t="s">
        <v>108</v>
      </c>
      <c r="AZ76" s="71" t="s">
        <v>108</v>
      </c>
      <c r="BB76" s="71" t="s">
        <v>108</v>
      </c>
      <c r="BD76" s="71" t="s">
        <v>108</v>
      </c>
      <c r="BF76" s="71" t="s">
        <v>109</v>
      </c>
      <c r="BH76" s="71" t="s">
        <v>108</v>
      </c>
      <c r="BJ76" s="71" t="s">
        <v>108</v>
      </c>
      <c r="BL76" s="71" t="s">
        <v>108</v>
      </c>
      <c r="BN76" s="71" t="s">
        <v>108</v>
      </c>
      <c r="BP76" s="71" t="s">
        <v>108</v>
      </c>
      <c r="BR76" s="71" t="s">
        <v>108</v>
      </c>
      <c r="BT76" s="71" t="s">
        <v>109</v>
      </c>
      <c r="BV76" s="71" t="s">
        <v>108</v>
      </c>
      <c r="BX76" s="71" t="s">
        <v>108</v>
      </c>
      <c r="BZ76" s="71" t="s">
        <v>108</v>
      </c>
      <c r="CB76" s="71" t="s">
        <v>107</v>
      </c>
      <c r="CD76" s="71" t="s">
        <v>108</v>
      </c>
      <c r="CF76" s="71" t="s">
        <v>108</v>
      </c>
      <c r="CH76" s="71" t="s">
        <v>108</v>
      </c>
      <c r="CJ76" s="71" t="s">
        <v>108</v>
      </c>
      <c r="CL76" s="71" t="s">
        <v>108</v>
      </c>
      <c r="CN76" s="71" t="s">
        <v>109</v>
      </c>
      <c r="CP76" s="71" t="s">
        <v>107</v>
      </c>
      <c r="CR76" s="71" t="s">
        <v>108</v>
      </c>
      <c r="CT76" s="71" t="s">
        <v>108</v>
      </c>
      <c r="CV76" s="71" t="s">
        <v>108</v>
      </c>
      <c r="CX76" s="71" t="s">
        <v>1197</v>
      </c>
      <c r="CZ76" s="71" t="s">
        <v>1198</v>
      </c>
      <c r="DA76" s="71" t="s">
        <v>1199</v>
      </c>
      <c r="DB76" s="72" t="s">
        <v>1200</v>
      </c>
    </row>
    <row r="77" spans="1:106" ht="13.2" x14ac:dyDescent="0.25">
      <c r="A77" s="69">
        <v>45687.590190949079</v>
      </c>
      <c r="B77" s="73" t="s">
        <v>106</v>
      </c>
      <c r="D77" s="73" t="s">
        <v>106</v>
      </c>
      <c r="F77" s="73" t="s">
        <v>106</v>
      </c>
      <c r="H77" s="73" t="s">
        <v>106</v>
      </c>
      <c r="J77" s="73" t="s">
        <v>106</v>
      </c>
      <c r="K77" s="73" t="s">
        <v>1201</v>
      </c>
      <c r="L77" s="73" t="s">
        <v>106</v>
      </c>
      <c r="N77" s="73" t="s">
        <v>106</v>
      </c>
      <c r="P77" s="73" t="s">
        <v>107</v>
      </c>
      <c r="Q77" s="73" t="s">
        <v>1202</v>
      </c>
      <c r="R77" s="73" t="s">
        <v>106</v>
      </c>
      <c r="S77" s="73" t="s">
        <v>1203</v>
      </c>
      <c r="T77" s="73" t="s">
        <v>106</v>
      </c>
      <c r="V77" s="73" t="s">
        <v>106</v>
      </c>
      <c r="X77" s="73" t="s">
        <v>106</v>
      </c>
      <c r="Y77" s="73" t="s">
        <v>1204</v>
      </c>
      <c r="Z77" s="73" t="s">
        <v>106</v>
      </c>
      <c r="AB77" s="73" t="s">
        <v>106</v>
      </c>
      <c r="AD77" s="73" t="s">
        <v>107</v>
      </c>
      <c r="AF77" s="73" t="s">
        <v>106</v>
      </c>
      <c r="AH77" s="73" t="s">
        <v>106</v>
      </c>
      <c r="AJ77" s="73" t="s">
        <v>106</v>
      </c>
      <c r="AL77" s="73" t="s">
        <v>106</v>
      </c>
      <c r="AN77" s="73" t="s">
        <v>106</v>
      </c>
      <c r="AP77" s="73" t="s">
        <v>106</v>
      </c>
      <c r="AR77" s="73" t="s">
        <v>106</v>
      </c>
      <c r="AT77" s="73" t="s">
        <v>106</v>
      </c>
      <c r="AU77" s="73" t="s">
        <v>1205</v>
      </c>
      <c r="AV77" s="73" t="s">
        <v>106</v>
      </c>
      <c r="AX77" s="73" t="s">
        <v>106</v>
      </c>
      <c r="AZ77" s="73" t="s">
        <v>106</v>
      </c>
      <c r="BB77" s="73" t="s">
        <v>106</v>
      </c>
      <c r="BD77" s="73" t="s">
        <v>106</v>
      </c>
      <c r="BF77" s="73" t="s">
        <v>106</v>
      </c>
      <c r="BH77" s="73" t="s">
        <v>106</v>
      </c>
      <c r="BJ77" s="73" t="s">
        <v>106</v>
      </c>
      <c r="BL77" s="73" t="s">
        <v>106</v>
      </c>
      <c r="BN77" s="73" t="s">
        <v>106</v>
      </c>
      <c r="BP77" s="73" t="s">
        <v>106</v>
      </c>
      <c r="BR77" s="73" t="s">
        <v>106</v>
      </c>
      <c r="BT77" s="73" t="s">
        <v>107</v>
      </c>
      <c r="BV77" s="73" t="s">
        <v>106</v>
      </c>
      <c r="BX77" s="73" t="s">
        <v>106</v>
      </c>
      <c r="BZ77" s="73" t="s">
        <v>107</v>
      </c>
      <c r="CA77" s="73" t="s">
        <v>1206</v>
      </c>
      <c r="CB77" s="73" t="s">
        <v>107</v>
      </c>
      <c r="CD77" s="73" t="s">
        <v>106</v>
      </c>
      <c r="CF77" s="73" t="s">
        <v>106</v>
      </c>
      <c r="CG77" s="73" t="s">
        <v>1207</v>
      </c>
      <c r="CH77" s="73" t="s">
        <v>106</v>
      </c>
      <c r="CJ77" s="73" t="s">
        <v>106</v>
      </c>
      <c r="CL77" s="73" t="s">
        <v>106</v>
      </c>
      <c r="CM77" s="73" t="s">
        <v>1208</v>
      </c>
      <c r="CN77" s="73" t="s">
        <v>108</v>
      </c>
      <c r="CO77" s="73" t="s">
        <v>1209</v>
      </c>
      <c r="CP77" s="73" t="s">
        <v>107</v>
      </c>
      <c r="CR77" s="73" t="s">
        <v>106</v>
      </c>
      <c r="CT77" s="73" t="s">
        <v>106</v>
      </c>
      <c r="CV77" s="73" t="s">
        <v>106</v>
      </c>
      <c r="CX77" s="73" t="s">
        <v>1210</v>
      </c>
      <c r="CZ77" s="73" t="s">
        <v>1211</v>
      </c>
      <c r="DA77" s="73" t="s">
        <v>1212</v>
      </c>
      <c r="DB77" s="74" t="s">
        <v>129</v>
      </c>
    </row>
    <row r="78" spans="1:106" ht="13.2" x14ac:dyDescent="0.25">
      <c r="A78" s="68">
        <v>45687.59250510417</v>
      </c>
      <c r="B78" s="71" t="s">
        <v>106</v>
      </c>
      <c r="D78" s="71" t="s">
        <v>108</v>
      </c>
      <c r="F78" s="71" t="s">
        <v>107</v>
      </c>
      <c r="G78" s="71" t="s">
        <v>1213</v>
      </c>
      <c r="H78" s="71" t="s">
        <v>106</v>
      </c>
      <c r="J78" s="71" t="s">
        <v>108</v>
      </c>
      <c r="L78" s="71" t="s">
        <v>108</v>
      </c>
      <c r="N78" s="71" t="s">
        <v>108</v>
      </c>
      <c r="P78" s="71" t="s">
        <v>106</v>
      </c>
      <c r="R78" s="71" t="s">
        <v>108</v>
      </c>
      <c r="T78" s="71" t="s">
        <v>106</v>
      </c>
      <c r="V78" s="71" t="s">
        <v>106</v>
      </c>
      <c r="X78" s="71" t="s">
        <v>106</v>
      </c>
      <c r="Z78" s="71" t="s">
        <v>106</v>
      </c>
      <c r="AB78" s="71" t="s">
        <v>106</v>
      </c>
      <c r="AD78" s="71" t="s">
        <v>106</v>
      </c>
      <c r="AF78" s="71" t="s">
        <v>106</v>
      </c>
      <c r="AH78" s="71" t="s">
        <v>106</v>
      </c>
      <c r="AJ78" s="71" t="s">
        <v>106</v>
      </c>
      <c r="AL78" s="71" t="s">
        <v>108</v>
      </c>
      <c r="AN78" s="71" t="s">
        <v>108</v>
      </c>
      <c r="AP78" s="71" t="s">
        <v>108</v>
      </c>
      <c r="AR78" s="71" t="s">
        <v>108</v>
      </c>
      <c r="AT78" s="71" t="s">
        <v>108</v>
      </c>
      <c r="AV78" s="71" t="s">
        <v>108</v>
      </c>
      <c r="AX78" s="71" t="s">
        <v>108</v>
      </c>
      <c r="AZ78" s="71" t="s">
        <v>108</v>
      </c>
      <c r="BB78" s="71" t="s">
        <v>108</v>
      </c>
      <c r="BD78" s="71" t="s">
        <v>108</v>
      </c>
      <c r="BF78" s="71" t="s">
        <v>108</v>
      </c>
      <c r="BH78" s="71" t="s">
        <v>108</v>
      </c>
      <c r="BJ78" s="71" t="s">
        <v>108</v>
      </c>
      <c r="BL78" s="71" t="s">
        <v>108</v>
      </c>
      <c r="BN78" s="71" t="s">
        <v>108</v>
      </c>
      <c r="BP78" s="71" t="s">
        <v>108</v>
      </c>
      <c r="BR78" s="71" t="s">
        <v>108</v>
      </c>
      <c r="BT78" s="71" t="s">
        <v>109</v>
      </c>
      <c r="BU78" s="71" t="s">
        <v>1214</v>
      </c>
      <c r="BV78" s="71" t="s">
        <v>106</v>
      </c>
      <c r="BX78" s="71" t="s">
        <v>106</v>
      </c>
      <c r="BZ78" s="71" t="s">
        <v>108</v>
      </c>
      <c r="CB78" s="71" t="s">
        <v>106</v>
      </c>
      <c r="CC78" s="71" t="s">
        <v>1215</v>
      </c>
      <c r="CD78" s="71" t="s">
        <v>108</v>
      </c>
      <c r="CF78" s="71" t="s">
        <v>108</v>
      </c>
      <c r="CG78" s="71" t="s">
        <v>1216</v>
      </c>
      <c r="CH78" s="71" t="s">
        <v>108</v>
      </c>
      <c r="CJ78" s="71" t="s">
        <v>108</v>
      </c>
      <c r="CL78" s="71" t="s">
        <v>108</v>
      </c>
      <c r="CN78" s="71" t="s">
        <v>108</v>
      </c>
      <c r="CP78" s="71" t="s">
        <v>106</v>
      </c>
      <c r="CQ78" s="71" t="s">
        <v>1217</v>
      </c>
      <c r="CR78" s="71" t="s">
        <v>108</v>
      </c>
      <c r="CS78" s="71" t="s">
        <v>1218</v>
      </c>
      <c r="CT78" s="71" t="s">
        <v>106</v>
      </c>
      <c r="CV78" s="71" t="s">
        <v>108</v>
      </c>
      <c r="CX78" s="71" t="s">
        <v>1219</v>
      </c>
      <c r="CZ78" s="71" t="s">
        <v>1220</v>
      </c>
      <c r="DA78" s="71" t="s">
        <v>1221</v>
      </c>
      <c r="DB78" s="72" t="s">
        <v>1222</v>
      </c>
    </row>
    <row r="79" spans="1:106" ht="13.2" x14ac:dyDescent="0.25">
      <c r="A79" s="69">
        <v>45687.607448819443</v>
      </c>
      <c r="B79" s="73" t="s">
        <v>108</v>
      </c>
      <c r="C79" s="73" t="s">
        <v>1223</v>
      </c>
      <c r="D79" s="73" t="s">
        <v>108</v>
      </c>
      <c r="E79" s="73" t="s">
        <v>129</v>
      </c>
      <c r="F79" s="73" t="s">
        <v>108</v>
      </c>
      <c r="G79" s="73" t="s">
        <v>129</v>
      </c>
      <c r="H79" s="73" t="s">
        <v>108</v>
      </c>
      <c r="I79" s="73" t="s">
        <v>129</v>
      </c>
      <c r="J79" s="73" t="s">
        <v>108</v>
      </c>
      <c r="K79" s="73" t="s">
        <v>437</v>
      </c>
      <c r="L79" s="73" t="s">
        <v>108</v>
      </c>
      <c r="M79" s="73" t="s">
        <v>437</v>
      </c>
      <c r="N79" s="73" t="s">
        <v>106</v>
      </c>
      <c r="O79" s="73" t="s">
        <v>129</v>
      </c>
      <c r="P79" s="73" t="s">
        <v>107</v>
      </c>
      <c r="Q79" s="73" t="s">
        <v>1224</v>
      </c>
      <c r="R79" s="73" t="s">
        <v>108</v>
      </c>
      <c r="S79" s="73" t="s">
        <v>1225</v>
      </c>
      <c r="T79" s="73" t="s">
        <v>108</v>
      </c>
      <c r="U79" s="73" t="s">
        <v>1226</v>
      </c>
      <c r="V79" s="73" t="s">
        <v>108</v>
      </c>
      <c r="W79" s="73" t="s">
        <v>1227</v>
      </c>
      <c r="X79" s="73" t="s">
        <v>108</v>
      </c>
      <c r="Y79" s="73" t="s">
        <v>1228</v>
      </c>
      <c r="Z79" s="73" t="s">
        <v>108</v>
      </c>
      <c r="AA79" s="73" t="s">
        <v>129</v>
      </c>
      <c r="AB79" s="73" t="s">
        <v>107</v>
      </c>
      <c r="AC79" s="73" t="s">
        <v>1229</v>
      </c>
      <c r="AD79" s="73" t="s">
        <v>106</v>
      </c>
      <c r="AE79" s="73" t="s">
        <v>1230</v>
      </c>
      <c r="AF79" s="73" t="s">
        <v>108</v>
      </c>
      <c r="AG79" s="73" t="s">
        <v>129</v>
      </c>
      <c r="AH79" s="73" t="s">
        <v>106</v>
      </c>
      <c r="AI79" s="73" t="s">
        <v>129</v>
      </c>
      <c r="AJ79" s="73" t="s">
        <v>107</v>
      </c>
      <c r="AK79" s="73" t="s">
        <v>1231</v>
      </c>
      <c r="AL79" s="73" t="s">
        <v>106</v>
      </c>
      <c r="AM79" s="73" t="s">
        <v>129</v>
      </c>
      <c r="AN79" s="73" t="s">
        <v>106</v>
      </c>
      <c r="AO79" s="73" t="s">
        <v>129</v>
      </c>
      <c r="AP79" s="73" t="s">
        <v>107</v>
      </c>
      <c r="AR79" s="73" t="s">
        <v>107</v>
      </c>
      <c r="AS79" s="73" t="s">
        <v>1232</v>
      </c>
      <c r="AT79" s="73" t="s">
        <v>106</v>
      </c>
      <c r="AU79" s="73" t="s">
        <v>437</v>
      </c>
      <c r="AV79" s="73" t="s">
        <v>106</v>
      </c>
      <c r="AW79" s="73" t="s">
        <v>437</v>
      </c>
      <c r="AX79" s="73" t="s">
        <v>106</v>
      </c>
      <c r="AY79" s="73" t="s">
        <v>129</v>
      </c>
      <c r="AZ79" s="73" t="s">
        <v>107</v>
      </c>
      <c r="BA79" s="73" t="s">
        <v>129</v>
      </c>
      <c r="BB79" s="73" t="s">
        <v>107</v>
      </c>
      <c r="BC79" s="73" t="s">
        <v>129</v>
      </c>
      <c r="BD79" s="73" t="s">
        <v>106</v>
      </c>
      <c r="BE79" s="73" t="s">
        <v>129</v>
      </c>
      <c r="BF79" s="73" t="s">
        <v>107</v>
      </c>
      <c r="BG79" s="73" t="s">
        <v>129</v>
      </c>
      <c r="BH79" s="73" t="s">
        <v>107</v>
      </c>
      <c r="BI79" s="73" t="s">
        <v>1233</v>
      </c>
      <c r="BJ79" s="73" t="s">
        <v>106</v>
      </c>
      <c r="BK79" s="73" t="s">
        <v>129</v>
      </c>
      <c r="BL79" s="73" t="s">
        <v>106</v>
      </c>
      <c r="BM79" s="73" t="s">
        <v>129</v>
      </c>
      <c r="BN79" s="73" t="s">
        <v>106</v>
      </c>
      <c r="BO79" s="73" t="s">
        <v>129</v>
      </c>
      <c r="BP79" s="73" t="s">
        <v>106</v>
      </c>
      <c r="BQ79" s="73" t="s">
        <v>1234</v>
      </c>
      <c r="BR79" s="73" t="s">
        <v>106</v>
      </c>
      <c r="BS79" s="73" t="s">
        <v>129</v>
      </c>
      <c r="BT79" s="73" t="s">
        <v>109</v>
      </c>
      <c r="BU79" s="73" t="s">
        <v>129</v>
      </c>
      <c r="BV79" s="73" t="s">
        <v>107</v>
      </c>
      <c r="BW79" s="73" t="s">
        <v>1235</v>
      </c>
      <c r="BX79" s="73" t="s">
        <v>108</v>
      </c>
      <c r="BY79" s="73" t="s">
        <v>129</v>
      </c>
      <c r="BZ79" s="73" t="s">
        <v>107</v>
      </c>
      <c r="CA79" s="73" t="s">
        <v>1236</v>
      </c>
      <c r="CB79" s="73" t="s">
        <v>109</v>
      </c>
      <c r="CC79" s="73" t="s">
        <v>129</v>
      </c>
      <c r="CD79" s="73" t="s">
        <v>106</v>
      </c>
      <c r="CE79" s="73" t="s">
        <v>1237</v>
      </c>
      <c r="CF79" s="73" t="s">
        <v>108</v>
      </c>
      <c r="CG79" s="73" t="s">
        <v>129</v>
      </c>
      <c r="CH79" s="73" t="s">
        <v>108</v>
      </c>
      <c r="CI79" s="73" t="s">
        <v>129</v>
      </c>
      <c r="CJ79" s="73" t="s">
        <v>106</v>
      </c>
      <c r="CK79" s="73" t="s">
        <v>437</v>
      </c>
      <c r="CL79" s="73" t="s">
        <v>108</v>
      </c>
      <c r="CM79" s="73" t="s">
        <v>129</v>
      </c>
      <c r="CN79" s="73" t="s">
        <v>109</v>
      </c>
      <c r="CO79" s="73" t="s">
        <v>1238</v>
      </c>
      <c r="CP79" s="73" t="s">
        <v>109</v>
      </c>
      <c r="CQ79" s="73" t="s">
        <v>129</v>
      </c>
      <c r="CR79" s="73" t="s">
        <v>108</v>
      </c>
      <c r="CS79" s="73" t="s">
        <v>1239</v>
      </c>
      <c r="CT79" s="73" t="s">
        <v>106</v>
      </c>
      <c r="CU79" s="73" t="s">
        <v>1237</v>
      </c>
      <c r="CV79" s="73" t="s">
        <v>108</v>
      </c>
      <c r="CW79" s="73" t="s">
        <v>1237</v>
      </c>
      <c r="CX79" s="73" t="s">
        <v>209</v>
      </c>
      <c r="CY79" s="73" t="s">
        <v>1240</v>
      </c>
      <c r="CZ79" s="73" t="s">
        <v>1241</v>
      </c>
      <c r="DA79" s="73" t="s">
        <v>1242</v>
      </c>
      <c r="DB79" s="74" t="s">
        <v>437</v>
      </c>
    </row>
    <row r="80" spans="1:106" ht="13.2" x14ac:dyDescent="0.25">
      <c r="A80" s="68">
        <v>45687.608614004625</v>
      </c>
      <c r="B80" s="71" t="s">
        <v>108</v>
      </c>
      <c r="C80" s="71" t="s">
        <v>1243</v>
      </c>
      <c r="D80" s="71" t="s">
        <v>106</v>
      </c>
      <c r="E80" s="71" t="s">
        <v>1244</v>
      </c>
      <c r="F80" s="71" t="s">
        <v>106</v>
      </c>
      <c r="H80" s="71" t="s">
        <v>107</v>
      </c>
      <c r="I80" s="71" t="s">
        <v>1245</v>
      </c>
      <c r="J80" s="71" t="s">
        <v>108</v>
      </c>
      <c r="L80" s="71" t="s">
        <v>108</v>
      </c>
      <c r="M80" s="71" t="s">
        <v>1246</v>
      </c>
      <c r="N80" s="71" t="s">
        <v>106</v>
      </c>
      <c r="P80" s="71" t="s">
        <v>107</v>
      </c>
      <c r="Q80" s="71" t="s">
        <v>1247</v>
      </c>
      <c r="R80" s="71" t="s">
        <v>108</v>
      </c>
      <c r="S80" s="71" t="s">
        <v>1248</v>
      </c>
      <c r="T80" s="71" t="s">
        <v>108</v>
      </c>
      <c r="U80" s="71" t="s">
        <v>1249</v>
      </c>
      <c r="V80" s="71" t="s">
        <v>108</v>
      </c>
      <c r="W80" s="71" t="s">
        <v>1250</v>
      </c>
      <c r="X80" s="71" t="s">
        <v>106</v>
      </c>
      <c r="Z80" s="71" t="s">
        <v>106</v>
      </c>
      <c r="AB80" s="71" t="s">
        <v>107</v>
      </c>
      <c r="AD80" s="71" t="s">
        <v>108</v>
      </c>
      <c r="AF80" s="71" t="s">
        <v>106</v>
      </c>
      <c r="AH80" s="71" t="s">
        <v>106</v>
      </c>
      <c r="AJ80" s="71" t="s">
        <v>107</v>
      </c>
      <c r="AK80" s="71" t="s">
        <v>1251</v>
      </c>
      <c r="AL80" s="71" t="s">
        <v>106</v>
      </c>
      <c r="AN80" s="71" t="s">
        <v>106</v>
      </c>
      <c r="AO80" s="71" t="s">
        <v>1252</v>
      </c>
      <c r="AP80" s="71" t="s">
        <v>108</v>
      </c>
      <c r="AQ80" s="71" t="s">
        <v>1253</v>
      </c>
      <c r="AR80" s="71" t="s">
        <v>108</v>
      </c>
      <c r="AS80" s="71" t="s">
        <v>1254</v>
      </c>
      <c r="AT80" s="71" t="s">
        <v>106</v>
      </c>
      <c r="AV80" s="71" t="s">
        <v>106</v>
      </c>
      <c r="AX80" s="71" t="s">
        <v>108</v>
      </c>
      <c r="AZ80" s="71" t="s">
        <v>107</v>
      </c>
      <c r="BA80" s="71" t="s">
        <v>1255</v>
      </c>
      <c r="BB80" s="71" t="s">
        <v>106</v>
      </c>
      <c r="BD80" s="71" t="s">
        <v>106</v>
      </c>
      <c r="BF80" s="71" t="s">
        <v>106</v>
      </c>
      <c r="BH80" s="71" t="s">
        <v>107</v>
      </c>
      <c r="BI80" s="71" t="s">
        <v>1256</v>
      </c>
      <c r="BJ80" s="71" t="s">
        <v>106</v>
      </c>
      <c r="BL80" s="71" t="s">
        <v>106</v>
      </c>
      <c r="BN80" s="71" t="s">
        <v>106</v>
      </c>
      <c r="BP80" s="71" t="s">
        <v>108</v>
      </c>
      <c r="BQ80" s="71" t="s">
        <v>1257</v>
      </c>
      <c r="BR80" s="71" t="s">
        <v>108</v>
      </c>
      <c r="BT80" s="71" t="s">
        <v>106</v>
      </c>
      <c r="BU80" s="71" t="s">
        <v>1258</v>
      </c>
      <c r="BV80" s="71" t="s">
        <v>106</v>
      </c>
      <c r="BX80" s="71" t="s">
        <v>108</v>
      </c>
      <c r="BZ80" s="71" t="s">
        <v>108</v>
      </c>
      <c r="CA80" s="71" t="s">
        <v>1259</v>
      </c>
      <c r="CB80" s="71" t="s">
        <v>107</v>
      </c>
      <c r="CD80" s="71" t="s">
        <v>108</v>
      </c>
      <c r="CF80" s="71" t="s">
        <v>108</v>
      </c>
      <c r="CH80" s="71" t="s">
        <v>108</v>
      </c>
      <c r="CJ80" s="71" t="s">
        <v>108</v>
      </c>
      <c r="CL80" s="71" t="s">
        <v>108</v>
      </c>
      <c r="CN80" s="71" t="s">
        <v>106</v>
      </c>
      <c r="CO80" s="71" t="s">
        <v>1260</v>
      </c>
      <c r="CP80" s="71" t="s">
        <v>107</v>
      </c>
      <c r="CR80" s="71" t="s">
        <v>108</v>
      </c>
      <c r="CT80" s="71" t="s">
        <v>106</v>
      </c>
      <c r="CV80" s="71" t="s">
        <v>108</v>
      </c>
      <c r="CX80" s="71" t="s">
        <v>1261</v>
      </c>
      <c r="CY80" s="71" t="s">
        <v>1262</v>
      </c>
      <c r="CZ80" s="71" t="s">
        <v>1263</v>
      </c>
      <c r="DA80" s="71" t="s">
        <v>1264</v>
      </c>
      <c r="DB80" s="72" t="s">
        <v>1265</v>
      </c>
    </row>
    <row r="81" spans="1:112" ht="13.2" x14ac:dyDescent="0.25">
      <c r="A81" s="69">
        <v>45687.608693414353</v>
      </c>
      <c r="B81" s="73" t="s">
        <v>106</v>
      </c>
      <c r="C81" s="73" t="s">
        <v>1266</v>
      </c>
      <c r="D81" s="73" t="s">
        <v>108</v>
      </c>
      <c r="F81" s="73" t="s">
        <v>106</v>
      </c>
      <c r="H81" s="73" t="s">
        <v>106</v>
      </c>
      <c r="J81" s="73" t="s">
        <v>106</v>
      </c>
      <c r="L81" s="73" t="s">
        <v>108</v>
      </c>
      <c r="N81" s="73" t="s">
        <v>106</v>
      </c>
      <c r="P81" s="73" t="s">
        <v>107</v>
      </c>
      <c r="Q81" s="73" t="s">
        <v>1267</v>
      </c>
      <c r="R81" s="73" t="s">
        <v>108</v>
      </c>
      <c r="T81" s="73" t="s">
        <v>108</v>
      </c>
      <c r="V81" s="73" t="s">
        <v>106</v>
      </c>
      <c r="X81" s="73" t="s">
        <v>106</v>
      </c>
      <c r="Z81" s="73" t="s">
        <v>108</v>
      </c>
      <c r="AB81" s="73" t="s">
        <v>107</v>
      </c>
      <c r="AC81" s="73" t="s">
        <v>1268</v>
      </c>
      <c r="AD81" s="73" t="s">
        <v>106</v>
      </c>
      <c r="AF81" s="73" t="s">
        <v>108</v>
      </c>
      <c r="AH81" s="73" t="s">
        <v>108</v>
      </c>
      <c r="AJ81" s="73" t="s">
        <v>108</v>
      </c>
      <c r="AL81" s="73" t="s">
        <v>108</v>
      </c>
      <c r="AN81" s="73" t="s">
        <v>106</v>
      </c>
      <c r="AP81" s="73" t="s">
        <v>108</v>
      </c>
      <c r="AR81" s="73" t="s">
        <v>108</v>
      </c>
      <c r="AT81" s="73" t="s">
        <v>108</v>
      </c>
      <c r="AV81" s="73" t="s">
        <v>106</v>
      </c>
      <c r="AX81" s="73" t="s">
        <v>108</v>
      </c>
      <c r="AZ81" s="73" t="s">
        <v>108</v>
      </c>
      <c r="BB81" s="73" t="s">
        <v>108</v>
      </c>
      <c r="BD81" s="73" t="s">
        <v>106</v>
      </c>
      <c r="BF81" s="73" t="s">
        <v>108</v>
      </c>
      <c r="BH81" s="73" t="s">
        <v>106</v>
      </c>
      <c r="BJ81" s="73" t="s">
        <v>108</v>
      </c>
      <c r="BL81" s="73" t="s">
        <v>108</v>
      </c>
      <c r="BN81" s="73" t="s">
        <v>106</v>
      </c>
      <c r="BP81" s="73" t="s">
        <v>108</v>
      </c>
      <c r="BR81" s="73" t="s">
        <v>106</v>
      </c>
      <c r="BT81" s="73" t="s">
        <v>109</v>
      </c>
      <c r="BU81" s="73" t="s">
        <v>1269</v>
      </c>
      <c r="BV81" s="73" t="s">
        <v>106</v>
      </c>
      <c r="BX81" s="73" t="s">
        <v>108</v>
      </c>
      <c r="BZ81" s="73" t="s">
        <v>106</v>
      </c>
      <c r="CB81" s="73" t="s">
        <v>106</v>
      </c>
      <c r="CD81" s="73" t="s">
        <v>106</v>
      </c>
      <c r="CF81" s="73" t="s">
        <v>106</v>
      </c>
      <c r="CH81" s="73" t="s">
        <v>108</v>
      </c>
      <c r="CJ81" s="73" t="s">
        <v>108</v>
      </c>
      <c r="CL81" s="73" t="s">
        <v>106</v>
      </c>
      <c r="CN81" s="73" t="s">
        <v>108</v>
      </c>
      <c r="CP81" s="73" t="s">
        <v>106</v>
      </c>
      <c r="CR81" s="73" t="s">
        <v>108</v>
      </c>
      <c r="CT81" s="73" t="s">
        <v>107</v>
      </c>
      <c r="CV81" s="73" t="s">
        <v>106</v>
      </c>
      <c r="CX81" s="73" t="s">
        <v>1270</v>
      </c>
      <c r="CY81" s="73" t="s">
        <v>1271</v>
      </c>
      <c r="CZ81" s="73" t="s">
        <v>1272</v>
      </c>
      <c r="DA81" s="73" t="s">
        <v>1273</v>
      </c>
      <c r="DB81" s="74" t="s">
        <v>1274</v>
      </c>
    </row>
    <row r="82" spans="1:112" ht="13.2" x14ac:dyDescent="0.25">
      <c r="A82" s="68">
        <v>45687.60949855324</v>
      </c>
      <c r="B82" s="71" t="s">
        <v>106</v>
      </c>
      <c r="D82" s="71" t="s">
        <v>108</v>
      </c>
      <c r="F82" s="71" t="s">
        <v>106</v>
      </c>
      <c r="H82" s="71" t="s">
        <v>107</v>
      </c>
      <c r="I82" s="71" t="s">
        <v>1275</v>
      </c>
      <c r="J82" s="71" t="s">
        <v>106</v>
      </c>
      <c r="L82" s="71" t="s">
        <v>106</v>
      </c>
      <c r="N82" s="71" t="s">
        <v>106</v>
      </c>
      <c r="P82" s="71" t="s">
        <v>106</v>
      </c>
      <c r="R82" s="71" t="s">
        <v>108</v>
      </c>
      <c r="T82" s="71" t="s">
        <v>108</v>
      </c>
      <c r="V82" s="71" t="s">
        <v>107</v>
      </c>
      <c r="W82" s="71" t="s">
        <v>1276</v>
      </c>
      <c r="X82" s="71" t="s">
        <v>106</v>
      </c>
      <c r="Z82" s="71" t="s">
        <v>106</v>
      </c>
      <c r="AB82" s="71" t="s">
        <v>108</v>
      </c>
      <c r="AD82" s="71" t="s">
        <v>107</v>
      </c>
      <c r="AE82" s="71" t="s">
        <v>1277</v>
      </c>
      <c r="AF82" s="71" t="s">
        <v>106</v>
      </c>
      <c r="AH82" s="71" t="s">
        <v>108</v>
      </c>
      <c r="AJ82" s="71" t="s">
        <v>108</v>
      </c>
      <c r="AL82" s="71" t="s">
        <v>106</v>
      </c>
      <c r="AM82" s="71" t="s">
        <v>1278</v>
      </c>
      <c r="AN82" s="71" t="s">
        <v>106</v>
      </c>
      <c r="AP82" s="71" t="s">
        <v>107</v>
      </c>
      <c r="AQ82" s="71" t="s">
        <v>1279</v>
      </c>
      <c r="AR82" s="71" t="s">
        <v>106</v>
      </c>
      <c r="AT82" s="71" t="s">
        <v>108</v>
      </c>
      <c r="AU82" s="71" t="s">
        <v>1280</v>
      </c>
      <c r="AV82" s="71" t="s">
        <v>106</v>
      </c>
      <c r="AX82" s="71" t="s">
        <v>108</v>
      </c>
      <c r="AY82" s="71" t="s">
        <v>1281</v>
      </c>
      <c r="AZ82" s="71" t="s">
        <v>106</v>
      </c>
      <c r="BB82" s="71" t="s">
        <v>108</v>
      </c>
      <c r="BC82" s="71" t="s">
        <v>1282</v>
      </c>
      <c r="BD82" s="71" t="s">
        <v>108</v>
      </c>
      <c r="BF82" s="71" t="s">
        <v>107</v>
      </c>
      <c r="BG82" s="71" t="s">
        <v>1283</v>
      </c>
      <c r="BH82" s="71" t="s">
        <v>106</v>
      </c>
      <c r="BI82" s="71" t="s">
        <v>1284</v>
      </c>
      <c r="BJ82" s="71" t="s">
        <v>108</v>
      </c>
      <c r="BL82" s="71" t="s">
        <v>108</v>
      </c>
      <c r="BN82" s="71" t="s">
        <v>106</v>
      </c>
      <c r="BP82" s="71" t="s">
        <v>108</v>
      </c>
      <c r="BQ82" s="71" t="s">
        <v>1285</v>
      </c>
      <c r="BR82" s="71" t="s">
        <v>108</v>
      </c>
      <c r="BT82" s="71" t="s">
        <v>109</v>
      </c>
      <c r="BU82" s="71" t="s">
        <v>1286</v>
      </c>
      <c r="BV82" s="71" t="s">
        <v>106</v>
      </c>
      <c r="BW82" s="71" t="s">
        <v>1287</v>
      </c>
      <c r="BX82" s="71" t="s">
        <v>106</v>
      </c>
      <c r="BZ82" s="71" t="s">
        <v>106</v>
      </c>
      <c r="CB82" s="71" t="s">
        <v>107</v>
      </c>
      <c r="CD82" s="71" t="s">
        <v>108</v>
      </c>
      <c r="CF82" s="71" t="s">
        <v>108</v>
      </c>
      <c r="CG82" s="71" t="s">
        <v>1288</v>
      </c>
      <c r="CH82" s="71" t="s">
        <v>108</v>
      </c>
      <c r="CJ82" s="71" t="s">
        <v>106</v>
      </c>
      <c r="CL82" s="71" t="s">
        <v>106</v>
      </c>
      <c r="CN82" s="71" t="s">
        <v>108</v>
      </c>
      <c r="CP82" s="71" t="s">
        <v>106</v>
      </c>
      <c r="CR82" s="71" t="s">
        <v>106</v>
      </c>
      <c r="CT82" s="71" t="s">
        <v>106</v>
      </c>
      <c r="CV82" s="71" t="s">
        <v>106</v>
      </c>
      <c r="CW82" s="71" t="s">
        <v>1289</v>
      </c>
      <c r="CX82" s="71" t="s">
        <v>1290</v>
      </c>
      <c r="CZ82" s="71" t="s">
        <v>1291</v>
      </c>
      <c r="DA82" s="71" t="s">
        <v>1292</v>
      </c>
      <c r="DB82" s="72" t="s">
        <v>1293</v>
      </c>
    </row>
    <row r="83" spans="1:112" ht="13.2" x14ac:dyDescent="0.25">
      <c r="A83" s="69">
        <v>45687.611219375001</v>
      </c>
      <c r="B83" s="73" t="s">
        <v>107</v>
      </c>
      <c r="C83" s="73" t="s">
        <v>1294</v>
      </c>
      <c r="D83" s="73" t="s">
        <v>107</v>
      </c>
      <c r="E83" s="73" t="s">
        <v>1295</v>
      </c>
      <c r="F83" s="73" t="s">
        <v>106</v>
      </c>
      <c r="H83" s="73" t="s">
        <v>106</v>
      </c>
      <c r="J83" s="73" t="s">
        <v>106</v>
      </c>
      <c r="L83" s="73" t="s">
        <v>106</v>
      </c>
      <c r="M83" s="73" t="s">
        <v>1296</v>
      </c>
      <c r="N83" s="73" t="s">
        <v>106</v>
      </c>
      <c r="P83" s="73" t="s">
        <v>106</v>
      </c>
      <c r="R83" s="73" t="s">
        <v>106</v>
      </c>
      <c r="S83" s="73" t="s">
        <v>1297</v>
      </c>
      <c r="T83" s="73" t="s">
        <v>106</v>
      </c>
      <c r="V83" s="73" t="s">
        <v>107</v>
      </c>
      <c r="W83" s="73" t="s">
        <v>1298</v>
      </c>
      <c r="X83" s="73" t="s">
        <v>106</v>
      </c>
      <c r="Z83" s="73" t="s">
        <v>106</v>
      </c>
      <c r="AA83" s="73" t="s">
        <v>1299</v>
      </c>
      <c r="AB83" s="73" t="s">
        <v>107</v>
      </c>
      <c r="AC83" s="73" t="s">
        <v>1300</v>
      </c>
      <c r="AD83" s="73" t="s">
        <v>107</v>
      </c>
      <c r="AE83" s="73" t="s">
        <v>1301</v>
      </c>
      <c r="AF83" s="73" t="s">
        <v>107</v>
      </c>
      <c r="AG83" s="73" t="s">
        <v>1302</v>
      </c>
      <c r="AH83" s="73" t="s">
        <v>106</v>
      </c>
      <c r="AJ83" s="73" t="s">
        <v>106</v>
      </c>
      <c r="AL83" s="73" t="s">
        <v>106</v>
      </c>
      <c r="AN83" s="73" t="s">
        <v>106</v>
      </c>
      <c r="AP83" s="73" t="s">
        <v>107</v>
      </c>
      <c r="AQ83" s="73" t="s">
        <v>1303</v>
      </c>
      <c r="AR83" s="73" t="s">
        <v>106</v>
      </c>
      <c r="AT83" s="73" t="s">
        <v>106</v>
      </c>
      <c r="AV83" s="73" t="s">
        <v>106</v>
      </c>
      <c r="AX83" s="73" t="s">
        <v>107</v>
      </c>
      <c r="AY83" s="73" t="s">
        <v>1304</v>
      </c>
      <c r="AZ83" s="73" t="s">
        <v>106</v>
      </c>
      <c r="BB83" s="73" t="s">
        <v>107</v>
      </c>
      <c r="BC83" s="73" t="s">
        <v>151</v>
      </c>
      <c r="BD83" s="73" t="s">
        <v>107</v>
      </c>
      <c r="BE83" s="73" t="s">
        <v>1305</v>
      </c>
      <c r="BF83" s="73" t="s">
        <v>106</v>
      </c>
      <c r="BH83" s="73" t="s">
        <v>107</v>
      </c>
      <c r="BI83" s="73" t="s">
        <v>1306</v>
      </c>
      <c r="BJ83" s="73" t="s">
        <v>107</v>
      </c>
      <c r="BK83" s="73" t="s">
        <v>1307</v>
      </c>
      <c r="BL83" s="73" t="s">
        <v>106</v>
      </c>
      <c r="BN83" s="73" t="s">
        <v>107</v>
      </c>
      <c r="BO83" s="73" t="s">
        <v>1308</v>
      </c>
      <c r="BP83" s="73" t="s">
        <v>106</v>
      </c>
      <c r="BR83" s="73" t="s">
        <v>106</v>
      </c>
      <c r="BT83" s="73" t="s">
        <v>107</v>
      </c>
      <c r="BU83" s="73" t="s">
        <v>1309</v>
      </c>
      <c r="BV83" s="73" t="s">
        <v>107</v>
      </c>
      <c r="BW83" s="73" t="s">
        <v>1310</v>
      </c>
      <c r="BX83" s="73" t="s">
        <v>106</v>
      </c>
      <c r="BZ83" s="73" t="s">
        <v>107</v>
      </c>
      <c r="CA83" s="73" t="s">
        <v>1311</v>
      </c>
      <c r="CB83" s="73" t="s">
        <v>106</v>
      </c>
      <c r="CC83" s="73" t="s">
        <v>1312</v>
      </c>
      <c r="CD83" s="73" t="s">
        <v>106</v>
      </c>
      <c r="CF83" s="73" t="s">
        <v>107</v>
      </c>
      <c r="CG83" s="73" t="s">
        <v>1313</v>
      </c>
      <c r="CH83" s="73" t="s">
        <v>106</v>
      </c>
      <c r="CJ83" s="73" t="s">
        <v>106</v>
      </c>
      <c r="CL83" s="73" t="s">
        <v>106</v>
      </c>
      <c r="CN83" s="73" t="s">
        <v>106</v>
      </c>
      <c r="CO83" s="73" t="s">
        <v>1314</v>
      </c>
      <c r="CP83" s="73" t="s">
        <v>106</v>
      </c>
      <c r="CQ83" s="73" t="s">
        <v>1315</v>
      </c>
      <c r="CR83" s="73" t="s">
        <v>107</v>
      </c>
      <c r="CS83" s="73" t="s">
        <v>1316</v>
      </c>
      <c r="CT83" s="73" t="s">
        <v>107</v>
      </c>
      <c r="CU83" s="73" t="s">
        <v>1317</v>
      </c>
      <c r="CV83" s="73" t="s">
        <v>107</v>
      </c>
      <c r="CW83" s="73" t="s">
        <v>1318</v>
      </c>
      <c r="CX83" s="73" t="s">
        <v>1319</v>
      </c>
      <c r="CY83" s="73" t="s">
        <v>1320</v>
      </c>
      <c r="CZ83" s="73" t="s">
        <v>1321</v>
      </c>
      <c r="DA83" s="73" t="s">
        <v>1322</v>
      </c>
      <c r="DB83" s="74" t="s">
        <v>468</v>
      </c>
    </row>
    <row r="84" spans="1:112" ht="13.2" x14ac:dyDescent="0.25">
      <c r="A84" s="68">
        <v>45687.617652280096</v>
      </c>
      <c r="B84" s="71" t="s">
        <v>109</v>
      </c>
      <c r="C84" s="71" t="s">
        <v>1323</v>
      </c>
      <c r="D84" s="71" t="s">
        <v>106</v>
      </c>
      <c r="F84" s="71" t="s">
        <v>106</v>
      </c>
      <c r="H84" s="71" t="s">
        <v>107</v>
      </c>
      <c r="I84" s="71" t="s">
        <v>1324</v>
      </c>
      <c r="J84" s="71" t="s">
        <v>106</v>
      </c>
      <c r="L84" s="71" t="s">
        <v>109</v>
      </c>
      <c r="M84" s="71" t="s">
        <v>1325</v>
      </c>
      <c r="N84" s="71" t="s">
        <v>107</v>
      </c>
      <c r="O84" s="71" t="s">
        <v>1326</v>
      </c>
      <c r="P84" s="71" t="s">
        <v>109</v>
      </c>
      <c r="Q84" s="71" t="s">
        <v>1327</v>
      </c>
      <c r="R84" s="71" t="s">
        <v>108</v>
      </c>
      <c r="S84" s="71" t="s">
        <v>1328</v>
      </c>
      <c r="T84" s="71" t="s">
        <v>106</v>
      </c>
      <c r="V84" s="71" t="s">
        <v>107</v>
      </c>
      <c r="W84" s="71" t="s">
        <v>1329</v>
      </c>
      <c r="X84" s="71" t="s">
        <v>106</v>
      </c>
      <c r="Z84" s="71" t="s">
        <v>108</v>
      </c>
      <c r="AB84" s="71" t="s">
        <v>106</v>
      </c>
      <c r="AD84" s="71" t="s">
        <v>106</v>
      </c>
      <c r="AF84" s="71" t="s">
        <v>106</v>
      </c>
      <c r="AH84" s="71" t="s">
        <v>106</v>
      </c>
      <c r="AJ84" s="71" t="s">
        <v>107</v>
      </c>
      <c r="AL84" s="71" t="s">
        <v>108</v>
      </c>
      <c r="AN84" s="71" t="s">
        <v>107</v>
      </c>
      <c r="AP84" s="71" t="s">
        <v>107</v>
      </c>
      <c r="AQ84" s="71" t="s">
        <v>1330</v>
      </c>
      <c r="AR84" s="71" t="s">
        <v>106</v>
      </c>
      <c r="AT84" s="71" t="s">
        <v>106</v>
      </c>
      <c r="AV84" s="71" t="s">
        <v>106</v>
      </c>
      <c r="AX84" s="71" t="s">
        <v>106</v>
      </c>
      <c r="AY84" s="71" t="s">
        <v>1331</v>
      </c>
      <c r="AZ84" s="71" t="s">
        <v>106</v>
      </c>
      <c r="BB84" s="71" t="s">
        <v>107</v>
      </c>
      <c r="BC84" s="71" t="s">
        <v>1332</v>
      </c>
      <c r="BD84" s="71" t="s">
        <v>107</v>
      </c>
      <c r="BE84" s="71" t="s">
        <v>1333</v>
      </c>
      <c r="BF84" s="71" t="s">
        <v>106</v>
      </c>
      <c r="BH84" s="71" t="s">
        <v>107</v>
      </c>
      <c r="BJ84" s="71" t="s">
        <v>107</v>
      </c>
      <c r="BL84" s="71" t="s">
        <v>106</v>
      </c>
      <c r="BN84" s="71" t="s">
        <v>107</v>
      </c>
      <c r="BO84" s="71" t="s">
        <v>1334</v>
      </c>
      <c r="BP84" s="71" t="s">
        <v>106</v>
      </c>
      <c r="BR84" s="71" t="s">
        <v>106</v>
      </c>
      <c r="BT84" s="71" t="s">
        <v>109</v>
      </c>
      <c r="BV84" s="71" t="s">
        <v>106</v>
      </c>
      <c r="BX84" s="71" t="s">
        <v>106</v>
      </c>
      <c r="BZ84" s="71" t="s">
        <v>106</v>
      </c>
      <c r="CB84" s="71" t="s">
        <v>106</v>
      </c>
      <c r="CD84" s="71" t="s">
        <v>107</v>
      </c>
      <c r="CF84" s="71" t="s">
        <v>106</v>
      </c>
      <c r="CH84" s="71" t="s">
        <v>106</v>
      </c>
      <c r="CJ84" s="71" t="s">
        <v>108</v>
      </c>
      <c r="CL84" s="71" t="s">
        <v>106</v>
      </c>
      <c r="CN84" s="71" t="s">
        <v>108</v>
      </c>
      <c r="CP84" s="71" t="s">
        <v>108</v>
      </c>
      <c r="CR84" s="71" t="s">
        <v>107</v>
      </c>
      <c r="CT84" s="71" t="s">
        <v>106</v>
      </c>
      <c r="CV84" s="71" t="s">
        <v>107</v>
      </c>
      <c r="CX84" s="71" t="s">
        <v>1335</v>
      </c>
      <c r="CZ84" s="71" t="s">
        <v>1336</v>
      </c>
      <c r="DA84" s="71" t="s">
        <v>1337</v>
      </c>
      <c r="DB84" s="72" t="s">
        <v>1338</v>
      </c>
    </row>
    <row r="85" spans="1:112" ht="13.2" x14ac:dyDescent="0.25">
      <c r="A85" s="69">
        <v>45687.63176394676</v>
      </c>
      <c r="B85" s="73" t="s">
        <v>108</v>
      </c>
      <c r="D85" s="73" t="s">
        <v>108</v>
      </c>
      <c r="F85" s="73" t="s">
        <v>106</v>
      </c>
      <c r="H85" s="73" t="s">
        <v>108</v>
      </c>
      <c r="J85" s="73" t="s">
        <v>106</v>
      </c>
      <c r="L85" s="73" t="s">
        <v>106</v>
      </c>
      <c r="N85" s="73" t="s">
        <v>106</v>
      </c>
      <c r="P85" s="73" t="s">
        <v>106</v>
      </c>
      <c r="R85" s="73" t="s">
        <v>106</v>
      </c>
      <c r="T85" s="73" t="s">
        <v>106</v>
      </c>
      <c r="V85" s="73" t="s">
        <v>106</v>
      </c>
      <c r="X85" s="73" t="s">
        <v>106</v>
      </c>
      <c r="Z85" s="73" t="s">
        <v>108</v>
      </c>
      <c r="AB85" s="73" t="s">
        <v>106</v>
      </c>
      <c r="AD85" s="73" t="s">
        <v>106</v>
      </c>
      <c r="AF85" s="73" t="s">
        <v>106</v>
      </c>
      <c r="AH85" s="73" t="s">
        <v>108</v>
      </c>
      <c r="AJ85" s="73" t="s">
        <v>106</v>
      </c>
      <c r="AL85" s="73" t="s">
        <v>106</v>
      </c>
      <c r="AN85" s="73" t="s">
        <v>108</v>
      </c>
      <c r="AP85" s="73" t="s">
        <v>106</v>
      </c>
      <c r="AR85" s="73" t="s">
        <v>108</v>
      </c>
      <c r="AT85" s="73" t="s">
        <v>106</v>
      </c>
      <c r="AV85" s="73" t="s">
        <v>106</v>
      </c>
      <c r="AX85" s="73" t="s">
        <v>106</v>
      </c>
      <c r="AZ85" s="73" t="s">
        <v>106</v>
      </c>
      <c r="BB85" s="73" t="s">
        <v>106</v>
      </c>
      <c r="BD85" s="73" t="s">
        <v>108</v>
      </c>
      <c r="BF85" s="73" t="s">
        <v>106</v>
      </c>
      <c r="BH85" s="73" t="s">
        <v>106</v>
      </c>
      <c r="BJ85" s="73" t="s">
        <v>108</v>
      </c>
      <c r="BL85" s="73" t="s">
        <v>108</v>
      </c>
      <c r="BN85" s="73" t="s">
        <v>106</v>
      </c>
      <c r="BP85" s="73" t="s">
        <v>106</v>
      </c>
      <c r="BR85" s="73" t="s">
        <v>108</v>
      </c>
      <c r="BT85" s="73" t="s">
        <v>109</v>
      </c>
      <c r="BV85" s="73" t="s">
        <v>106</v>
      </c>
      <c r="BX85" s="73" t="s">
        <v>106</v>
      </c>
      <c r="BZ85" s="73" t="s">
        <v>108</v>
      </c>
      <c r="CB85" s="73" t="s">
        <v>106</v>
      </c>
      <c r="CD85" s="73" t="s">
        <v>106</v>
      </c>
      <c r="CF85" s="73" t="s">
        <v>106</v>
      </c>
      <c r="CH85" s="73" t="s">
        <v>106</v>
      </c>
      <c r="CJ85" s="73" t="s">
        <v>106</v>
      </c>
      <c r="CL85" s="73" t="s">
        <v>106</v>
      </c>
      <c r="CN85" s="73" t="s">
        <v>106</v>
      </c>
      <c r="CP85" s="73" t="s">
        <v>107</v>
      </c>
      <c r="CR85" s="73" t="s">
        <v>106</v>
      </c>
      <c r="CT85" s="73" t="s">
        <v>106</v>
      </c>
      <c r="CV85" s="73" t="s">
        <v>106</v>
      </c>
      <c r="CX85" s="73" t="s">
        <v>1339</v>
      </c>
      <c r="CZ85" s="73" t="s">
        <v>1340</v>
      </c>
      <c r="DA85" s="73" t="s">
        <v>1341</v>
      </c>
      <c r="DB85" s="74" t="s">
        <v>1342</v>
      </c>
    </row>
    <row r="86" spans="1:112" ht="13.2" x14ac:dyDescent="0.25">
      <c r="A86" s="68">
        <v>45687.636401412034</v>
      </c>
      <c r="B86" s="71" t="s">
        <v>106</v>
      </c>
      <c r="D86" s="71" t="s">
        <v>106</v>
      </c>
      <c r="E86" s="71" t="s">
        <v>1343</v>
      </c>
      <c r="F86" s="71" t="s">
        <v>106</v>
      </c>
      <c r="H86" s="71" t="s">
        <v>106</v>
      </c>
      <c r="J86" s="71" t="s">
        <v>106</v>
      </c>
      <c r="K86" s="71" t="s">
        <v>1344</v>
      </c>
      <c r="L86" s="71" t="s">
        <v>107</v>
      </c>
      <c r="N86" s="71" t="s">
        <v>107</v>
      </c>
      <c r="P86" s="71" t="s">
        <v>106</v>
      </c>
      <c r="R86" s="71" t="s">
        <v>108</v>
      </c>
      <c r="T86" s="71" t="s">
        <v>108</v>
      </c>
      <c r="V86" s="71" t="s">
        <v>106</v>
      </c>
      <c r="X86" s="71" t="s">
        <v>106</v>
      </c>
      <c r="Z86" s="71" t="s">
        <v>108</v>
      </c>
      <c r="AB86" s="71" t="s">
        <v>107</v>
      </c>
      <c r="AD86" s="71" t="s">
        <v>106</v>
      </c>
      <c r="AF86" s="71" t="s">
        <v>106</v>
      </c>
      <c r="AH86" s="71" t="s">
        <v>106</v>
      </c>
      <c r="AJ86" s="71" t="s">
        <v>108</v>
      </c>
      <c r="AL86" s="71" t="s">
        <v>106</v>
      </c>
      <c r="AN86" s="71" t="s">
        <v>106</v>
      </c>
      <c r="AP86" s="71" t="s">
        <v>107</v>
      </c>
      <c r="AR86" s="71" t="s">
        <v>106</v>
      </c>
      <c r="AT86" s="71" t="s">
        <v>107</v>
      </c>
      <c r="AV86" s="71" t="s">
        <v>106</v>
      </c>
      <c r="AX86" s="71" t="s">
        <v>107</v>
      </c>
      <c r="AY86" s="71" t="s">
        <v>1345</v>
      </c>
      <c r="AZ86" s="71" t="s">
        <v>106</v>
      </c>
      <c r="BB86" s="71" t="s">
        <v>106</v>
      </c>
      <c r="BD86" s="71" t="s">
        <v>108</v>
      </c>
      <c r="BF86" s="71" t="s">
        <v>107</v>
      </c>
      <c r="BH86" s="71" t="s">
        <v>106</v>
      </c>
      <c r="BJ86" s="71" t="s">
        <v>106</v>
      </c>
      <c r="BL86" s="71" t="s">
        <v>106</v>
      </c>
      <c r="BN86" s="71" t="s">
        <v>106</v>
      </c>
      <c r="BP86" s="71" t="s">
        <v>106</v>
      </c>
      <c r="BR86" s="71" t="s">
        <v>108</v>
      </c>
      <c r="BT86" s="71" t="s">
        <v>109</v>
      </c>
      <c r="BV86" s="71" t="s">
        <v>106</v>
      </c>
      <c r="BX86" s="71" t="s">
        <v>107</v>
      </c>
      <c r="BY86" s="71" t="s">
        <v>1346</v>
      </c>
      <c r="BZ86" s="71" t="s">
        <v>107</v>
      </c>
      <c r="CB86" s="71" t="s">
        <v>107</v>
      </c>
      <c r="CD86" s="71" t="s">
        <v>107</v>
      </c>
      <c r="CF86" s="71" t="s">
        <v>106</v>
      </c>
      <c r="CH86" s="71" t="s">
        <v>108</v>
      </c>
      <c r="CJ86" s="71" t="s">
        <v>106</v>
      </c>
      <c r="CL86" s="71" t="s">
        <v>106</v>
      </c>
      <c r="CN86" s="71" t="s">
        <v>106</v>
      </c>
      <c r="CP86" s="71" t="s">
        <v>108</v>
      </c>
      <c r="CR86" s="71" t="s">
        <v>106</v>
      </c>
      <c r="CT86" s="71" t="s">
        <v>107</v>
      </c>
      <c r="CV86" s="71" t="s">
        <v>106</v>
      </c>
      <c r="CX86" s="71" t="s">
        <v>578</v>
      </c>
      <c r="CZ86" s="71" t="s">
        <v>1347</v>
      </c>
      <c r="DA86" s="71" t="s">
        <v>1348</v>
      </c>
      <c r="DB86" s="72" t="s">
        <v>1349</v>
      </c>
    </row>
    <row r="87" spans="1:112" ht="13.2" x14ac:dyDescent="0.25">
      <c r="A87" s="69">
        <v>45687.637034675921</v>
      </c>
      <c r="B87" s="73" t="s">
        <v>106</v>
      </c>
      <c r="D87" s="73" t="s">
        <v>106</v>
      </c>
      <c r="F87" s="73" t="s">
        <v>106</v>
      </c>
      <c r="H87" s="73" t="s">
        <v>106</v>
      </c>
      <c r="J87" s="73" t="s">
        <v>106</v>
      </c>
      <c r="L87" s="73" t="s">
        <v>106</v>
      </c>
      <c r="N87" s="73" t="s">
        <v>106</v>
      </c>
      <c r="P87" s="73" t="s">
        <v>106</v>
      </c>
      <c r="R87" s="73" t="s">
        <v>106</v>
      </c>
      <c r="T87" s="73" t="s">
        <v>106</v>
      </c>
      <c r="V87" s="73" t="s">
        <v>106</v>
      </c>
      <c r="X87" s="73" t="s">
        <v>106</v>
      </c>
      <c r="Z87" s="73" t="s">
        <v>106</v>
      </c>
      <c r="AB87" s="73" t="s">
        <v>106</v>
      </c>
      <c r="AD87" s="73" t="s">
        <v>106</v>
      </c>
      <c r="AF87" s="73" t="s">
        <v>106</v>
      </c>
      <c r="AH87" s="73" t="s">
        <v>106</v>
      </c>
      <c r="AI87" s="73" t="s">
        <v>1350</v>
      </c>
      <c r="AJ87" s="73" t="s">
        <v>106</v>
      </c>
      <c r="AK87" s="73" t="s">
        <v>1350</v>
      </c>
      <c r="AL87" s="73" t="s">
        <v>106</v>
      </c>
      <c r="AN87" s="73" t="s">
        <v>106</v>
      </c>
      <c r="AP87" s="73" t="s">
        <v>106</v>
      </c>
      <c r="AR87" s="73" t="s">
        <v>106</v>
      </c>
      <c r="AT87" s="73" t="s">
        <v>106</v>
      </c>
      <c r="AU87" s="73" t="s">
        <v>148</v>
      </c>
      <c r="AV87" s="73" t="s">
        <v>106</v>
      </c>
      <c r="AX87" s="73" t="s">
        <v>106</v>
      </c>
      <c r="AZ87" s="73" t="s">
        <v>106</v>
      </c>
      <c r="BB87" s="73" t="s">
        <v>106</v>
      </c>
      <c r="BD87" s="73" t="s">
        <v>106</v>
      </c>
      <c r="BF87" s="73" t="s">
        <v>106</v>
      </c>
      <c r="BH87" s="73" t="s">
        <v>106</v>
      </c>
      <c r="BJ87" s="73" t="s">
        <v>106</v>
      </c>
      <c r="BL87" s="73" t="s">
        <v>106</v>
      </c>
      <c r="BN87" s="73" t="s">
        <v>106</v>
      </c>
      <c r="BP87" s="73" t="s">
        <v>106</v>
      </c>
      <c r="BR87" s="73" t="s">
        <v>106</v>
      </c>
      <c r="BT87" s="73" t="s">
        <v>107</v>
      </c>
      <c r="BV87" s="73" t="s">
        <v>107</v>
      </c>
      <c r="BW87" s="73" t="s">
        <v>1351</v>
      </c>
      <c r="BX87" s="73" t="s">
        <v>106</v>
      </c>
      <c r="BZ87" s="73" t="s">
        <v>106</v>
      </c>
      <c r="CB87" s="73" t="s">
        <v>107</v>
      </c>
      <c r="CD87" s="73" t="s">
        <v>106</v>
      </c>
      <c r="CF87" s="73" t="s">
        <v>106</v>
      </c>
      <c r="CH87" s="73" t="s">
        <v>106</v>
      </c>
      <c r="CJ87" s="73" t="s">
        <v>108</v>
      </c>
      <c r="CL87" s="73" t="s">
        <v>108</v>
      </c>
      <c r="CN87" s="73" t="s">
        <v>106</v>
      </c>
      <c r="CP87" s="73" t="s">
        <v>106</v>
      </c>
      <c r="CR87" s="73" t="s">
        <v>108</v>
      </c>
      <c r="CT87" s="73" t="s">
        <v>107</v>
      </c>
      <c r="CV87" s="73" t="s">
        <v>106</v>
      </c>
      <c r="CW87" s="73" t="s">
        <v>1352</v>
      </c>
      <c r="CX87" s="73" t="s">
        <v>1353</v>
      </c>
      <c r="CZ87" s="73" t="s">
        <v>1354</v>
      </c>
      <c r="DA87" s="73" t="s">
        <v>1355</v>
      </c>
      <c r="DB87" s="74" t="s">
        <v>1356</v>
      </c>
    </row>
    <row r="88" spans="1:112" ht="13.2" x14ac:dyDescent="0.25">
      <c r="A88" s="68">
        <v>45687.647487465278</v>
      </c>
      <c r="B88" s="71" t="s">
        <v>106</v>
      </c>
      <c r="C88" s="71" t="s">
        <v>1357</v>
      </c>
      <c r="D88" s="71" t="s">
        <v>107</v>
      </c>
      <c r="E88" s="71" t="s">
        <v>1358</v>
      </c>
      <c r="F88" s="71" t="s">
        <v>107</v>
      </c>
      <c r="G88" s="71" t="s">
        <v>1359</v>
      </c>
      <c r="H88" s="71" t="s">
        <v>107</v>
      </c>
      <c r="I88" s="71" t="s">
        <v>1360</v>
      </c>
      <c r="J88" s="71" t="s">
        <v>106</v>
      </c>
      <c r="K88" s="71" t="s">
        <v>1361</v>
      </c>
      <c r="L88" s="71" t="s">
        <v>107</v>
      </c>
      <c r="M88" s="71" t="s">
        <v>1362</v>
      </c>
      <c r="N88" s="71" t="s">
        <v>106</v>
      </c>
      <c r="O88" s="71" t="s">
        <v>1363</v>
      </c>
      <c r="P88" s="71" t="s">
        <v>107</v>
      </c>
      <c r="Q88" s="71" t="s">
        <v>1364</v>
      </c>
      <c r="R88" s="71" t="s">
        <v>106</v>
      </c>
      <c r="S88" s="71" t="s">
        <v>1365</v>
      </c>
      <c r="T88" s="71" t="s">
        <v>106</v>
      </c>
      <c r="U88" s="71" t="s">
        <v>1366</v>
      </c>
      <c r="V88" s="71" t="s">
        <v>106</v>
      </c>
      <c r="W88" s="71" t="s">
        <v>1367</v>
      </c>
      <c r="X88" s="71" t="s">
        <v>106</v>
      </c>
      <c r="Y88" s="71" t="s">
        <v>1367</v>
      </c>
      <c r="Z88" s="71" t="s">
        <v>106</v>
      </c>
      <c r="AA88" s="71" t="s">
        <v>1368</v>
      </c>
      <c r="AB88" s="71" t="s">
        <v>107</v>
      </c>
      <c r="AC88" s="71" t="s">
        <v>1369</v>
      </c>
      <c r="AD88" s="71" t="s">
        <v>108</v>
      </c>
      <c r="AE88" s="71" t="s">
        <v>1370</v>
      </c>
      <c r="AF88" s="71" t="s">
        <v>107</v>
      </c>
      <c r="AG88" s="71" t="s">
        <v>1371</v>
      </c>
      <c r="AH88" s="71" t="s">
        <v>106</v>
      </c>
      <c r="AI88" s="71" t="s">
        <v>148</v>
      </c>
      <c r="AJ88" s="71" t="s">
        <v>107</v>
      </c>
      <c r="AK88" s="71" t="s">
        <v>1372</v>
      </c>
      <c r="AL88" s="71" t="s">
        <v>106</v>
      </c>
      <c r="AM88" s="71" t="s">
        <v>148</v>
      </c>
      <c r="AN88" s="71" t="s">
        <v>106</v>
      </c>
      <c r="AO88" s="71" t="s">
        <v>148</v>
      </c>
      <c r="AP88" s="71" t="s">
        <v>106</v>
      </c>
      <c r="AQ88" s="71" t="s">
        <v>148</v>
      </c>
      <c r="AR88" s="71" t="s">
        <v>106</v>
      </c>
      <c r="AS88" s="71" t="s">
        <v>148</v>
      </c>
      <c r="AT88" s="71" t="s">
        <v>107</v>
      </c>
      <c r="AU88" s="71" t="s">
        <v>1373</v>
      </c>
      <c r="AV88" s="71" t="s">
        <v>106</v>
      </c>
      <c r="AW88" s="71" t="s">
        <v>148</v>
      </c>
      <c r="AX88" s="71" t="s">
        <v>106</v>
      </c>
      <c r="AY88" s="71" t="s">
        <v>148</v>
      </c>
      <c r="AZ88" s="71" t="s">
        <v>106</v>
      </c>
      <c r="BA88" s="71" t="s">
        <v>148</v>
      </c>
      <c r="BB88" s="71" t="s">
        <v>109</v>
      </c>
      <c r="BC88" s="71" t="s">
        <v>1374</v>
      </c>
      <c r="BD88" s="71" t="s">
        <v>106</v>
      </c>
      <c r="BE88" s="71" t="s">
        <v>148</v>
      </c>
      <c r="BF88" s="71" t="s">
        <v>107</v>
      </c>
      <c r="BH88" s="71" t="s">
        <v>106</v>
      </c>
      <c r="BI88" s="71" t="s">
        <v>148</v>
      </c>
      <c r="BJ88" s="71" t="s">
        <v>106</v>
      </c>
      <c r="BK88" s="71" t="s">
        <v>148</v>
      </c>
      <c r="BL88" s="71" t="s">
        <v>106</v>
      </c>
      <c r="BM88" s="71" t="s">
        <v>148</v>
      </c>
      <c r="BN88" s="71" t="s">
        <v>107</v>
      </c>
      <c r="BO88" s="71" t="s">
        <v>1375</v>
      </c>
      <c r="BP88" s="71" t="s">
        <v>109</v>
      </c>
      <c r="BQ88" s="71" t="s">
        <v>1376</v>
      </c>
      <c r="BR88" s="71" t="s">
        <v>108</v>
      </c>
      <c r="BS88" s="71" t="s">
        <v>148</v>
      </c>
      <c r="BT88" s="71" t="s">
        <v>109</v>
      </c>
      <c r="BU88" s="71" t="s">
        <v>1377</v>
      </c>
      <c r="BV88" s="71" t="s">
        <v>106</v>
      </c>
      <c r="BW88" s="71" t="s">
        <v>1378</v>
      </c>
      <c r="BX88" s="71" t="s">
        <v>106</v>
      </c>
      <c r="BY88" s="71" t="s">
        <v>1379</v>
      </c>
      <c r="BZ88" s="71" t="s">
        <v>109</v>
      </c>
      <c r="CA88" s="71" t="s">
        <v>1380</v>
      </c>
      <c r="CB88" s="71" t="s">
        <v>107</v>
      </c>
      <c r="CD88" s="71" t="s">
        <v>108</v>
      </c>
      <c r="CE88" s="71" t="s">
        <v>1381</v>
      </c>
      <c r="CF88" s="71" t="s">
        <v>108</v>
      </c>
      <c r="CG88" s="71" t="s">
        <v>1382</v>
      </c>
      <c r="CH88" s="71" t="s">
        <v>108</v>
      </c>
      <c r="CI88" s="71" t="s">
        <v>148</v>
      </c>
      <c r="CJ88" s="71" t="s">
        <v>106</v>
      </c>
      <c r="CK88" s="71" t="s">
        <v>148</v>
      </c>
      <c r="CL88" s="71" t="s">
        <v>108</v>
      </c>
      <c r="CM88" s="71" t="s">
        <v>1383</v>
      </c>
      <c r="CN88" s="71" t="s">
        <v>108</v>
      </c>
      <c r="CO88" s="71" t="s">
        <v>1384</v>
      </c>
      <c r="CP88" s="71" t="s">
        <v>109</v>
      </c>
      <c r="CQ88" s="71" t="s">
        <v>1385</v>
      </c>
      <c r="CR88" s="71" t="s">
        <v>106</v>
      </c>
      <c r="CS88" s="71" t="s">
        <v>1386</v>
      </c>
      <c r="CT88" s="71" t="s">
        <v>106</v>
      </c>
      <c r="CU88" s="71" t="s">
        <v>148</v>
      </c>
      <c r="CV88" s="71" t="s">
        <v>107</v>
      </c>
      <c r="CW88" s="71" t="s">
        <v>1387</v>
      </c>
      <c r="CX88" s="71" t="s">
        <v>1388</v>
      </c>
      <c r="CY88" s="71" t="s">
        <v>1389</v>
      </c>
      <c r="CZ88" s="71" t="s">
        <v>1390</v>
      </c>
      <c r="DA88" s="71" t="s">
        <v>1391</v>
      </c>
      <c r="DB88" s="72" t="s">
        <v>1392</v>
      </c>
    </row>
    <row r="89" spans="1:112" ht="13.2" x14ac:dyDescent="0.25">
      <c r="A89" s="69">
        <v>45687.64953545139</v>
      </c>
      <c r="B89" s="73" t="s">
        <v>107</v>
      </c>
      <c r="C89" s="73" t="s">
        <v>1393</v>
      </c>
      <c r="D89" s="73" t="s">
        <v>107</v>
      </c>
      <c r="E89" s="73" t="s">
        <v>1394</v>
      </c>
      <c r="F89" s="73" t="s">
        <v>106</v>
      </c>
      <c r="G89" s="73" t="s">
        <v>1395</v>
      </c>
      <c r="H89" s="73" t="s">
        <v>108</v>
      </c>
      <c r="I89" s="73" t="s">
        <v>1396</v>
      </c>
      <c r="J89" s="73" t="s">
        <v>106</v>
      </c>
      <c r="K89" s="73" t="s">
        <v>1397</v>
      </c>
      <c r="L89" s="73" t="s">
        <v>106</v>
      </c>
      <c r="M89" s="73" t="s">
        <v>1398</v>
      </c>
      <c r="N89" s="73" t="s">
        <v>106</v>
      </c>
      <c r="P89" s="73" t="s">
        <v>109</v>
      </c>
      <c r="Q89" s="73" t="s">
        <v>1399</v>
      </c>
      <c r="R89" s="73" t="s">
        <v>106</v>
      </c>
      <c r="S89" s="73" t="s">
        <v>1400</v>
      </c>
      <c r="T89" s="73" t="s">
        <v>108</v>
      </c>
      <c r="V89" s="73" t="s">
        <v>106</v>
      </c>
      <c r="X89" s="73" t="s">
        <v>108</v>
      </c>
      <c r="Z89" s="73" t="s">
        <v>106</v>
      </c>
      <c r="AB89" s="73" t="s">
        <v>109</v>
      </c>
      <c r="AC89" s="73" t="s">
        <v>1401</v>
      </c>
      <c r="AD89" s="73" t="s">
        <v>108</v>
      </c>
      <c r="AF89" s="73" t="s">
        <v>108</v>
      </c>
      <c r="AH89" s="73" t="s">
        <v>108</v>
      </c>
      <c r="AJ89" s="73" t="s">
        <v>106</v>
      </c>
      <c r="AL89" s="73" t="s">
        <v>106</v>
      </c>
      <c r="AN89" s="73" t="s">
        <v>106</v>
      </c>
      <c r="AP89" s="73" t="s">
        <v>109</v>
      </c>
      <c r="AQ89" s="73" t="s">
        <v>1402</v>
      </c>
      <c r="AR89" s="73" t="s">
        <v>108</v>
      </c>
      <c r="AT89" s="73" t="s">
        <v>109</v>
      </c>
      <c r="AU89" s="73" t="s">
        <v>1403</v>
      </c>
      <c r="AV89" s="73" t="s">
        <v>106</v>
      </c>
      <c r="AX89" s="73" t="s">
        <v>109</v>
      </c>
      <c r="AY89" s="73" t="s">
        <v>1404</v>
      </c>
      <c r="AZ89" s="73" t="s">
        <v>106</v>
      </c>
      <c r="BB89" s="73" t="s">
        <v>106</v>
      </c>
      <c r="BD89" s="73" t="s">
        <v>107</v>
      </c>
      <c r="BE89" s="73" t="s">
        <v>172</v>
      </c>
      <c r="BF89" s="73" t="s">
        <v>108</v>
      </c>
      <c r="BG89" s="73" t="s">
        <v>1405</v>
      </c>
      <c r="BH89" s="73" t="s">
        <v>107</v>
      </c>
      <c r="BI89" s="73" t="s">
        <v>1406</v>
      </c>
      <c r="BJ89" s="73" t="s">
        <v>108</v>
      </c>
      <c r="BL89" s="73" t="s">
        <v>108</v>
      </c>
      <c r="BN89" s="73" t="s">
        <v>106</v>
      </c>
      <c r="BO89" s="73" t="s">
        <v>1407</v>
      </c>
      <c r="BP89" s="73" t="s">
        <v>108</v>
      </c>
      <c r="BR89" s="73" t="s">
        <v>108</v>
      </c>
      <c r="BT89" s="73" t="s">
        <v>107</v>
      </c>
      <c r="BU89" s="73" t="s">
        <v>1408</v>
      </c>
      <c r="BV89" s="73" t="s">
        <v>106</v>
      </c>
      <c r="BX89" s="73" t="s">
        <v>108</v>
      </c>
      <c r="BZ89" s="73" t="s">
        <v>106</v>
      </c>
      <c r="CB89" s="73" t="s">
        <v>106</v>
      </c>
      <c r="CD89" s="73" t="s">
        <v>109</v>
      </c>
      <c r="CE89" s="73" t="s">
        <v>1409</v>
      </c>
      <c r="CF89" s="73" t="s">
        <v>106</v>
      </c>
      <c r="CH89" s="73" t="s">
        <v>106</v>
      </c>
      <c r="CJ89" s="73" t="s">
        <v>107</v>
      </c>
      <c r="CL89" s="73" t="s">
        <v>108</v>
      </c>
      <c r="CN89" s="73" t="s">
        <v>108</v>
      </c>
      <c r="CO89" s="73" t="s">
        <v>1410</v>
      </c>
      <c r="CP89" s="73" t="s">
        <v>106</v>
      </c>
      <c r="CR89" s="73" t="s">
        <v>106</v>
      </c>
      <c r="CT89" s="73" t="s">
        <v>106</v>
      </c>
      <c r="CV89" s="73" t="s">
        <v>106</v>
      </c>
      <c r="CX89" s="73" t="s">
        <v>1411</v>
      </c>
      <c r="CZ89" s="73" t="s">
        <v>1412</v>
      </c>
      <c r="DA89" s="73" t="s">
        <v>1413</v>
      </c>
      <c r="DB89" s="74" t="s">
        <v>1414</v>
      </c>
    </row>
    <row r="90" spans="1:112" ht="13.2" x14ac:dyDescent="0.25">
      <c r="A90" s="68">
        <v>45687.654445462962</v>
      </c>
      <c r="B90" s="71" t="s">
        <v>107</v>
      </c>
      <c r="C90" s="71" t="s">
        <v>1415</v>
      </c>
      <c r="D90" s="71" t="s">
        <v>107</v>
      </c>
      <c r="E90" s="71" t="s">
        <v>1416</v>
      </c>
      <c r="F90" s="71" t="s">
        <v>108</v>
      </c>
      <c r="H90" s="71" t="s">
        <v>106</v>
      </c>
      <c r="J90" s="71" t="s">
        <v>106</v>
      </c>
      <c r="L90" s="71" t="s">
        <v>106</v>
      </c>
      <c r="N90" s="71" t="s">
        <v>109</v>
      </c>
      <c r="O90" s="71" t="s">
        <v>1417</v>
      </c>
      <c r="P90" s="71" t="s">
        <v>109</v>
      </c>
      <c r="Q90" s="71" t="s">
        <v>1418</v>
      </c>
      <c r="R90" s="71" t="s">
        <v>108</v>
      </c>
      <c r="T90" s="71" t="s">
        <v>107</v>
      </c>
      <c r="U90" s="71" t="s">
        <v>1419</v>
      </c>
      <c r="V90" s="71" t="s">
        <v>106</v>
      </c>
      <c r="X90" s="71" t="s">
        <v>107</v>
      </c>
      <c r="Y90" s="71" t="s">
        <v>1420</v>
      </c>
      <c r="Z90" s="71" t="s">
        <v>106</v>
      </c>
      <c r="AB90" s="71" t="s">
        <v>109</v>
      </c>
      <c r="AC90" s="71" t="s">
        <v>1421</v>
      </c>
      <c r="AD90" s="71" t="s">
        <v>108</v>
      </c>
      <c r="AF90" s="71" t="s">
        <v>107</v>
      </c>
      <c r="AG90" s="71" t="s">
        <v>1422</v>
      </c>
      <c r="AH90" s="71" t="s">
        <v>108</v>
      </c>
      <c r="AJ90" s="71" t="s">
        <v>108</v>
      </c>
      <c r="AL90" s="71" t="s">
        <v>107</v>
      </c>
      <c r="AM90" s="71" t="s">
        <v>1423</v>
      </c>
      <c r="AN90" s="71" t="s">
        <v>107</v>
      </c>
      <c r="AO90" s="71" t="s">
        <v>1424</v>
      </c>
      <c r="AP90" s="71" t="s">
        <v>106</v>
      </c>
      <c r="AR90" s="71" t="s">
        <v>106</v>
      </c>
      <c r="AT90" s="71" t="s">
        <v>109</v>
      </c>
      <c r="AU90" s="71" t="s">
        <v>1425</v>
      </c>
      <c r="AV90" s="71" t="s">
        <v>106</v>
      </c>
      <c r="AW90" s="71" t="s">
        <v>1426</v>
      </c>
      <c r="AX90" s="71" t="s">
        <v>107</v>
      </c>
      <c r="AY90" s="71" t="s">
        <v>1427</v>
      </c>
      <c r="AZ90" s="71" t="s">
        <v>109</v>
      </c>
      <c r="BA90" s="71" t="s">
        <v>1428</v>
      </c>
      <c r="BB90" s="71" t="s">
        <v>106</v>
      </c>
      <c r="BD90" s="71" t="s">
        <v>107</v>
      </c>
      <c r="BF90" s="71" t="s">
        <v>107</v>
      </c>
      <c r="BG90" s="71" t="s">
        <v>1429</v>
      </c>
      <c r="BH90" s="71" t="s">
        <v>106</v>
      </c>
      <c r="BJ90" s="71" t="s">
        <v>109</v>
      </c>
      <c r="BK90" s="71" t="s">
        <v>1430</v>
      </c>
      <c r="BL90" s="71" t="s">
        <v>107</v>
      </c>
      <c r="BM90" s="71" t="s">
        <v>1431</v>
      </c>
      <c r="BN90" s="71" t="s">
        <v>109</v>
      </c>
      <c r="BO90" s="71" t="s">
        <v>1432</v>
      </c>
      <c r="BP90" s="71" t="s">
        <v>109</v>
      </c>
      <c r="BQ90" s="71" t="s">
        <v>1433</v>
      </c>
      <c r="BR90" s="71" t="s">
        <v>108</v>
      </c>
      <c r="BT90" s="71" t="s">
        <v>107</v>
      </c>
      <c r="BV90" s="71" t="s">
        <v>107</v>
      </c>
      <c r="BW90" s="71" t="s">
        <v>1434</v>
      </c>
      <c r="BX90" s="71" t="s">
        <v>109</v>
      </c>
      <c r="BY90" s="71" t="s">
        <v>1435</v>
      </c>
      <c r="BZ90" s="71" t="s">
        <v>109</v>
      </c>
      <c r="CA90" s="71" t="s">
        <v>1436</v>
      </c>
      <c r="CB90" s="71" t="s">
        <v>108</v>
      </c>
      <c r="CC90" s="71" t="s">
        <v>1437</v>
      </c>
      <c r="CD90" s="71" t="s">
        <v>109</v>
      </c>
      <c r="CE90" s="71" t="s">
        <v>1438</v>
      </c>
      <c r="CF90" s="71" t="s">
        <v>108</v>
      </c>
      <c r="CH90" s="71" t="s">
        <v>108</v>
      </c>
      <c r="CJ90" s="71" t="s">
        <v>108</v>
      </c>
      <c r="CK90" s="71" t="s">
        <v>1439</v>
      </c>
      <c r="CL90" s="71" t="s">
        <v>109</v>
      </c>
      <c r="CM90" s="71" t="s">
        <v>1440</v>
      </c>
      <c r="CN90" s="71" t="s">
        <v>107</v>
      </c>
      <c r="CP90" s="71" t="s">
        <v>107</v>
      </c>
      <c r="CQ90" s="71" t="s">
        <v>1441</v>
      </c>
      <c r="CR90" s="71" t="s">
        <v>106</v>
      </c>
      <c r="CT90" s="71" t="s">
        <v>106</v>
      </c>
      <c r="CV90" s="71" t="s">
        <v>107</v>
      </c>
      <c r="CW90" s="71" t="s">
        <v>1442</v>
      </c>
      <c r="CX90" s="71" t="s">
        <v>1443</v>
      </c>
      <c r="CZ90" s="71" t="s">
        <v>1444</v>
      </c>
      <c r="DA90" s="71" t="s">
        <v>1445</v>
      </c>
      <c r="DB90" s="72" t="s">
        <v>1446</v>
      </c>
    </row>
    <row r="91" spans="1:112" ht="13.2" x14ac:dyDescent="0.25">
      <c r="A91" s="69">
        <v>45687.658606087964</v>
      </c>
      <c r="B91" s="73" t="s">
        <v>107</v>
      </c>
      <c r="C91" s="73" t="s">
        <v>1447</v>
      </c>
      <c r="D91" s="73" t="s">
        <v>106</v>
      </c>
      <c r="E91" s="73" t="s">
        <v>1448</v>
      </c>
      <c r="F91" s="73" t="s">
        <v>106</v>
      </c>
      <c r="H91" s="73" t="s">
        <v>106</v>
      </c>
      <c r="J91" s="73" t="s">
        <v>107</v>
      </c>
      <c r="K91" s="73" t="s">
        <v>1449</v>
      </c>
      <c r="L91" s="73" t="s">
        <v>106</v>
      </c>
      <c r="M91" s="73" t="s">
        <v>1450</v>
      </c>
      <c r="N91" s="73" t="s">
        <v>106</v>
      </c>
      <c r="P91" s="73" t="s">
        <v>107</v>
      </c>
      <c r="Q91" s="73" t="s">
        <v>1451</v>
      </c>
      <c r="R91" s="73" t="s">
        <v>106</v>
      </c>
      <c r="S91" s="73" t="s">
        <v>1452</v>
      </c>
      <c r="T91" s="73" t="s">
        <v>106</v>
      </c>
      <c r="U91" s="73" t="s">
        <v>1453</v>
      </c>
      <c r="V91" s="73" t="s">
        <v>106</v>
      </c>
      <c r="W91" s="73" t="s">
        <v>1454</v>
      </c>
      <c r="X91" s="73" t="s">
        <v>106</v>
      </c>
      <c r="Z91" s="73" t="s">
        <v>106</v>
      </c>
      <c r="AA91" s="73" t="s">
        <v>1455</v>
      </c>
      <c r="AB91" s="73" t="s">
        <v>106</v>
      </c>
      <c r="AD91" s="73" t="s">
        <v>106</v>
      </c>
      <c r="AF91" s="73" t="s">
        <v>106</v>
      </c>
      <c r="AH91" s="73" t="s">
        <v>106</v>
      </c>
      <c r="AI91" s="73" t="s">
        <v>1456</v>
      </c>
      <c r="AJ91" s="73" t="s">
        <v>106</v>
      </c>
      <c r="AK91" s="73" t="s">
        <v>148</v>
      </c>
      <c r="AL91" s="73" t="s">
        <v>106</v>
      </c>
      <c r="AN91" s="73" t="s">
        <v>106</v>
      </c>
      <c r="AP91" s="73" t="s">
        <v>107</v>
      </c>
      <c r="AR91" s="73" t="s">
        <v>106</v>
      </c>
      <c r="AS91" s="73" t="s">
        <v>1457</v>
      </c>
      <c r="AT91" s="73" t="s">
        <v>106</v>
      </c>
      <c r="AV91" s="73" t="s">
        <v>106</v>
      </c>
      <c r="AX91" s="73" t="s">
        <v>106</v>
      </c>
      <c r="AZ91" s="73" t="s">
        <v>108</v>
      </c>
      <c r="BB91" s="73" t="s">
        <v>106</v>
      </c>
      <c r="BD91" s="73" t="s">
        <v>106</v>
      </c>
      <c r="BF91" s="73" t="s">
        <v>107</v>
      </c>
      <c r="BH91" s="73" t="s">
        <v>106</v>
      </c>
      <c r="BJ91" s="73" t="s">
        <v>106</v>
      </c>
      <c r="BL91" s="73" t="s">
        <v>106</v>
      </c>
      <c r="BN91" s="73" t="s">
        <v>106</v>
      </c>
      <c r="BP91" s="73" t="s">
        <v>106</v>
      </c>
      <c r="BR91" s="73" t="s">
        <v>106</v>
      </c>
      <c r="BT91" s="73" t="s">
        <v>109</v>
      </c>
      <c r="BV91" s="73" t="s">
        <v>107</v>
      </c>
      <c r="BX91" s="73" t="s">
        <v>106</v>
      </c>
      <c r="BZ91" s="73" t="s">
        <v>107</v>
      </c>
      <c r="CB91" s="73" t="s">
        <v>107</v>
      </c>
      <c r="CD91" s="73" t="s">
        <v>106</v>
      </c>
      <c r="CF91" s="73" t="s">
        <v>106</v>
      </c>
      <c r="CH91" s="73" t="s">
        <v>106</v>
      </c>
      <c r="CJ91" s="73" t="s">
        <v>106</v>
      </c>
      <c r="CL91" s="73" t="s">
        <v>108</v>
      </c>
      <c r="CN91" s="73" t="s">
        <v>107</v>
      </c>
      <c r="CP91" s="73" t="s">
        <v>109</v>
      </c>
      <c r="CR91" s="73" t="s">
        <v>106</v>
      </c>
      <c r="CT91" s="73" t="s">
        <v>108</v>
      </c>
      <c r="CV91" s="73" t="s">
        <v>106</v>
      </c>
      <c r="CX91" s="73" t="s">
        <v>1458</v>
      </c>
      <c r="CZ91" s="73" t="s">
        <v>1459</v>
      </c>
      <c r="DA91" s="73" t="s">
        <v>1460</v>
      </c>
      <c r="DB91" s="74" t="s">
        <v>1461</v>
      </c>
    </row>
    <row r="92" spans="1:112" ht="13.2" x14ac:dyDescent="0.25">
      <c r="A92" s="68">
        <v>45688.35020591435</v>
      </c>
      <c r="B92" s="71" t="s">
        <v>106</v>
      </c>
      <c r="C92" s="71" t="s">
        <v>1462</v>
      </c>
      <c r="D92" s="71" t="s">
        <v>107</v>
      </c>
      <c r="E92" s="71" t="s">
        <v>1463</v>
      </c>
      <c r="F92" s="71" t="s">
        <v>108</v>
      </c>
      <c r="G92" s="71" t="s">
        <v>1464</v>
      </c>
      <c r="H92" s="71" t="s">
        <v>108</v>
      </c>
      <c r="I92" s="71" t="s">
        <v>1465</v>
      </c>
      <c r="J92" s="71" t="s">
        <v>106</v>
      </c>
      <c r="K92" s="71" t="s">
        <v>1466</v>
      </c>
      <c r="L92" s="71" t="s">
        <v>108</v>
      </c>
      <c r="M92" s="71" t="s">
        <v>1467</v>
      </c>
      <c r="N92" s="71" t="s">
        <v>106</v>
      </c>
      <c r="O92" s="71" t="s">
        <v>1468</v>
      </c>
      <c r="P92" s="71" t="s">
        <v>108</v>
      </c>
      <c r="Q92" s="71" t="s">
        <v>1469</v>
      </c>
      <c r="R92" s="71" t="s">
        <v>108</v>
      </c>
      <c r="T92" s="71" t="s">
        <v>108</v>
      </c>
      <c r="V92" s="71" t="s">
        <v>108</v>
      </c>
      <c r="W92" s="71" t="s">
        <v>1470</v>
      </c>
      <c r="X92" s="71" t="s">
        <v>108</v>
      </c>
      <c r="Y92" s="71" t="s">
        <v>1471</v>
      </c>
      <c r="Z92" s="71" t="s">
        <v>108</v>
      </c>
      <c r="AB92" s="71" t="s">
        <v>108</v>
      </c>
      <c r="AD92" s="71" t="s">
        <v>108</v>
      </c>
      <c r="AF92" s="71" t="s">
        <v>108</v>
      </c>
      <c r="AH92" s="71" t="s">
        <v>108</v>
      </c>
      <c r="AI92" s="71" t="s">
        <v>1472</v>
      </c>
      <c r="AJ92" s="71" t="s">
        <v>108</v>
      </c>
      <c r="AL92" s="71" t="s">
        <v>108</v>
      </c>
      <c r="AN92" s="71" t="s">
        <v>108</v>
      </c>
      <c r="AP92" s="71" t="s">
        <v>108</v>
      </c>
      <c r="AR92" s="71" t="s">
        <v>108</v>
      </c>
      <c r="AT92" s="71" t="s">
        <v>106</v>
      </c>
      <c r="AV92" s="71" t="s">
        <v>108</v>
      </c>
      <c r="AX92" s="71" t="s">
        <v>108</v>
      </c>
      <c r="AZ92" s="71" t="s">
        <v>108</v>
      </c>
      <c r="BB92" s="71" t="s">
        <v>108</v>
      </c>
      <c r="BD92" s="71" t="s">
        <v>108</v>
      </c>
      <c r="BF92" s="71" t="s">
        <v>108</v>
      </c>
      <c r="BH92" s="71" t="s">
        <v>108</v>
      </c>
      <c r="BJ92" s="71" t="s">
        <v>108</v>
      </c>
      <c r="BL92" s="71" t="s">
        <v>108</v>
      </c>
      <c r="BN92" s="71" t="s">
        <v>108</v>
      </c>
      <c r="BP92" s="71" t="s">
        <v>108</v>
      </c>
      <c r="BR92" s="71" t="s">
        <v>108</v>
      </c>
      <c r="BT92" s="71" t="s">
        <v>109</v>
      </c>
      <c r="BV92" s="71" t="s">
        <v>108</v>
      </c>
      <c r="BX92" s="71" t="s">
        <v>108</v>
      </c>
      <c r="BZ92" s="71" t="s">
        <v>107</v>
      </c>
      <c r="CB92" s="71" t="s">
        <v>107</v>
      </c>
      <c r="CD92" s="71" t="s">
        <v>108</v>
      </c>
      <c r="CF92" s="71" t="s">
        <v>108</v>
      </c>
      <c r="CH92" s="71" t="s">
        <v>108</v>
      </c>
      <c r="CJ92" s="71" t="s">
        <v>108</v>
      </c>
      <c r="CL92" s="71" t="s">
        <v>108</v>
      </c>
      <c r="CN92" s="71" t="s">
        <v>109</v>
      </c>
      <c r="CP92" s="71" t="s">
        <v>109</v>
      </c>
      <c r="CR92" s="71" t="s">
        <v>108</v>
      </c>
      <c r="CT92" s="71" t="s">
        <v>108</v>
      </c>
      <c r="CV92" s="71" t="s">
        <v>108</v>
      </c>
      <c r="CX92" s="71" t="s">
        <v>1473</v>
      </c>
      <c r="CZ92" s="71" t="s">
        <v>1474</v>
      </c>
      <c r="DA92" s="71" t="s">
        <v>1475</v>
      </c>
      <c r="DB92" s="72" t="s">
        <v>1476</v>
      </c>
    </row>
    <row r="93" spans="1:112" ht="13.8" thickBot="1" x14ac:dyDescent="0.3">
      <c r="A93" s="70">
        <v>45688.357442789347</v>
      </c>
      <c r="B93" s="75" t="s">
        <v>108</v>
      </c>
      <c r="D93" s="75" t="s">
        <v>106</v>
      </c>
      <c r="F93" s="75" t="s">
        <v>106</v>
      </c>
      <c r="H93" s="75" t="s">
        <v>108</v>
      </c>
      <c r="J93" s="75" t="s">
        <v>108</v>
      </c>
      <c r="L93" s="75" t="s">
        <v>108</v>
      </c>
      <c r="N93" s="75" t="s">
        <v>106</v>
      </c>
      <c r="P93" s="75" t="s">
        <v>106</v>
      </c>
      <c r="R93" s="75" t="s">
        <v>108</v>
      </c>
      <c r="T93" s="75" t="s">
        <v>108</v>
      </c>
      <c r="V93" s="75" t="s">
        <v>108</v>
      </c>
      <c r="X93" s="75" t="s">
        <v>108</v>
      </c>
      <c r="Z93" s="75" t="s">
        <v>108</v>
      </c>
      <c r="AB93" s="75" t="s">
        <v>106</v>
      </c>
      <c r="AD93" s="75" t="s">
        <v>108</v>
      </c>
      <c r="AF93" s="75" t="s">
        <v>108</v>
      </c>
      <c r="AH93" s="75" t="s">
        <v>108</v>
      </c>
      <c r="AJ93" s="75" t="s">
        <v>106</v>
      </c>
      <c r="AL93" s="75" t="s">
        <v>108</v>
      </c>
      <c r="AN93" s="75" t="s">
        <v>108</v>
      </c>
      <c r="AP93" s="75" t="s">
        <v>108</v>
      </c>
      <c r="AR93" s="75" t="s">
        <v>108</v>
      </c>
      <c r="AT93" s="75" t="s">
        <v>106</v>
      </c>
      <c r="AV93" s="75" t="s">
        <v>106</v>
      </c>
      <c r="AX93" s="75" t="s">
        <v>108</v>
      </c>
      <c r="AZ93" s="75" t="s">
        <v>108</v>
      </c>
      <c r="BB93" s="75" t="s">
        <v>108</v>
      </c>
      <c r="BD93" s="75" t="s">
        <v>108</v>
      </c>
      <c r="BF93" s="75" t="s">
        <v>106</v>
      </c>
      <c r="BH93" s="75" t="s">
        <v>106</v>
      </c>
      <c r="BJ93" s="75" t="s">
        <v>106</v>
      </c>
      <c r="BL93" s="75" t="s">
        <v>106</v>
      </c>
      <c r="BN93" s="75" t="s">
        <v>106</v>
      </c>
      <c r="BP93" s="75" t="s">
        <v>108</v>
      </c>
      <c r="BR93" s="75" t="s">
        <v>108</v>
      </c>
      <c r="BT93" s="75" t="s">
        <v>107</v>
      </c>
      <c r="BU93" s="75" t="s">
        <v>1477</v>
      </c>
      <c r="BV93" s="75" t="s">
        <v>108</v>
      </c>
      <c r="BX93" s="75" t="s">
        <v>106</v>
      </c>
      <c r="BZ93" s="75" t="s">
        <v>109</v>
      </c>
      <c r="CA93" s="75" t="s">
        <v>1478</v>
      </c>
      <c r="CB93" s="75" t="s">
        <v>107</v>
      </c>
      <c r="CD93" s="75" t="s">
        <v>108</v>
      </c>
      <c r="CF93" s="75" t="s">
        <v>108</v>
      </c>
      <c r="CH93" s="75" t="s">
        <v>108</v>
      </c>
      <c r="CJ93" s="75" t="s">
        <v>108</v>
      </c>
      <c r="CL93" s="75" t="s">
        <v>108</v>
      </c>
      <c r="CN93" s="75" t="s">
        <v>106</v>
      </c>
      <c r="CO93" s="75" t="s">
        <v>1479</v>
      </c>
      <c r="CP93" s="75" t="s">
        <v>106</v>
      </c>
      <c r="CR93" s="75" t="s">
        <v>108</v>
      </c>
      <c r="CT93" s="75" t="s">
        <v>108</v>
      </c>
      <c r="CV93" s="75" t="s">
        <v>108</v>
      </c>
      <c r="CX93" s="75" t="s">
        <v>1480</v>
      </c>
      <c r="CZ93" s="75" t="s">
        <v>1481</v>
      </c>
      <c r="DA93" s="75" t="s">
        <v>1482</v>
      </c>
      <c r="DB93" s="76" t="s">
        <v>1483</v>
      </c>
    </row>
    <row r="94" spans="1:112" ht="13.8" thickBot="1" x14ac:dyDescent="0.3">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row>
    <row r="95" spans="1:112" ht="13.8" thickBot="1" x14ac:dyDescent="0.3">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row>
    <row r="96" spans="1:112" ht="13.8" thickBot="1" x14ac:dyDescent="0.3">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row>
    <row r="97" spans="1:112" ht="13.8" thickBot="1" x14ac:dyDescent="0.3">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row>
    <row r="98" spans="1:112" ht="13.8" thickBot="1" x14ac:dyDescent="0.3">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row>
    <row r="99" spans="1:112" ht="13.8" thickBot="1" x14ac:dyDescent="0.3">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row>
    <row r="100" spans="1:112" ht="13.8" thickBot="1" x14ac:dyDescent="0.3">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row>
    <row r="101" spans="1:112" ht="13.8" thickBot="1" x14ac:dyDescent="0.3">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row>
    <row r="102" spans="1:112" ht="13.8" thickBot="1" x14ac:dyDescent="0.3">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row>
    <row r="103" spans="1:112" ht="13.8" thickBot="1" x14ac:dyDescent="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row>
    <row r="104" spans="1:112" ht="13.8" thickBot="1" x14ac:dyDescent="0.3">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row>
    <row r="105" spans="1:112" ht="13.8" thickBot="1" x14ac:dyDescent="0.3">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row>
    <row r="106" spans="1:112" ht="13.8" thickBot="1" x14ac:dyDescent="0.3">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row>
    <row r="107" spans="1:112" ht="13.8" thickBot="1" x14ac:dyDescent="0.3">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row>
    <row r="108" spans="1:112" ht="13.8" thickBot="1" x14ac:dyDescent="0.3">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row>
    <row r="109" spans="1:112" ht="13.8" thickBot="1" x14ac:dyDescent="0.3">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row>
    <row r="110" spans="1:112" ht="13.8" thickBot="1" x14ac:dyDescent="0.3">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row>
    <row r="111" spans="1:112" ht="13.2" x14ac:dyDescent="0.25">
      <c r="A111" s="1"/>
      <c r="B111" s="2"/>
      <c r="D111" s="2"/>
      <c r="F111" s="2"/>
      <c r="H111" s="2"/>
      <c r="J111" s="2"/>
      <c r="L111" s="2"/>
      <c r="N111" s="2"/>
      <c r="P111" s="2"/>
      <c r="R111" s="2"/>
      <c r="T111" s="2"/>
      <c r="V111" s="2"/>
      <c r="X111" s="2"/>
      <c r="Z111" s="2"/>
      <c r="AB111" s="2"/>
      <c r="AD111" s="2"/>
      <c r="AF111" s="2"/>
      <c r="AH111" s="2"/>
      <c r="AJ111" s="2"/>
      <c r="AL111" s="2"/>
      <c r="AN111" s="2"/>
      <c r="AP111" s="2"/>
      <c r="AR111" s="2"/>
      <c r="AT111" s="2"/>
      <c r="AV111" s="2"/>
      <c r="AX111" s="2"/>
      <c r="AZ111" s="2"/>
      <c r="BB111" s="2"/>
      <c r="BD111" s="2"/>
      <c r="BF111" s="2"/>
      <c r="BH111" s="2"/>
      <c r="BJ111" s="2"/>
      <c r="BL111" s="2"/>
      <c r="BN111" s="2"/>
      <c r="BP111" s="2"/>
      <c r="BR111" s="2"/>
      <c r="BT111" s="2"/>
      <c r="BV111" s="2"/>
      <c r="BX111" s="2"/>
      <c r="BZ111" s="2"/>
      <c r="CB111" s="2"/>
      <c r="CD111" s="2"/>
      <c r="CF111" s="2"/>
      <c r="CH111" s="2"/>
      <c r="CJ111" s="2"/>
      <c r="CL111" s="2"/>
      <c r="CN111" s="2"/>
      <c r="CP111" s="2"/>
      <c r="CR111" s="2"/>
      <c r="CT111" s="2"/>
      <c r="CV111" s="2"/>
      <c r="CX111" s="2"/>
      <c r="CZ111" s="2"/>
      <c r="DA111" s="2"/>
      <c r="DB111" s="2"/>
    </row>
    <row r="112" spans="1:112" ht="13.2" x14ac:dyDescent="0.2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T112" s="2"/>
      <c r="AV112" s="2"/>
      <c r="AX112" s="2"/>
      <c r="AZ112" s="2"/>
      <c r="BB112" s="2"/>
      <c r="BD112" s="2"/>
      <c r="BF112" s="2"/>
      <c r="BH112" s="2"/>
      <c r="BJ112" s="2"/>
      <c r="BL112" s="2"/>
      <c r="BN112" s="2"/>
      <c r="BP112" s="2"/>
      <c r="BR112" s="2"/>
      <c r="BT112" s="2"/>
      <c r="BV112" s="2"/>
      <c r="BX112" s="2"/>
      <c r="BZ112" s="2"/>
      <c r="CB112" s="2"/>
      <c r="CD112" s="2"/>
      <c r="CF112" s="2"/>
      <c r="CH112" s="2"/>
      <c r="CJ112" s="2"/>
      <c r="CL112" s="2"/>
      <c r="CN112" s="2"/>
      <c r="CP112" s="2"/>
      <c r="CR112" s="2"/>
      <c r="CT112" s="2"/>
      <c r="CV112" s="2"/>
      <c r="CX112" s="2"/>
      <c r="CZ112" s="2"/>
      <c r="DA112" s="2"/>
    </row>
    <row r="113" spans="1:106" ht="13.2" x14ac:dyDescent="0.25">
      <c r="A113" s="1"/>
      <c r="B113" s="2"/>
      <c r="D113" s="2"/>
      <c r="E113" s="2"/>
      <c r="F113" s="2"/>
      <c r="G113" s="2"/>
      <c r="H113" s="2"/>
      <c r="J113" s="2"/>
      <c r="K113" s="2"/>
      <c r="L113" s="2"/>
      <c r="N113" s="2"/>
      <c r="P113" s="2"/>
      <c r="R113" s="2"/>
      <c r="T113" s="2"/>
      <c r="V113" s="2"/>
      <c r="X113" s="2"/>
      <c r="Z113" s="2"/>
      <c r="AB113" s="2"/>
      <c r="AD113" s="2"/>
      <c r="AF113" s="2"/>
      <c r="AH113" s="2"/>
      <c r="AJ113" s="2"/>
      <c r="AL113" s="2"/>
      <c r="AN113" s="2"/>
      <c r="AO113" s="2"/>
      <c r="AP113" s="2"/>
      <c r="AR113" s="2"/>
      <c r="AT113" s="2"/>
      <c r="AV113" s="2"/>
      <c r="AX113" s="2"/>
      <c r="AZ113" s="2"/>
      <c r="BB113" s="2"/>
      <c r="BD113" s="2"/>
      <c r="BF113" s="2"/>
      <c r="BH113" s="2"/>
      <c r="BJ113" s="2"/>
      <c r="BL113" s="2"/>
      <c r="BN113" s="2"/>
      <c r="BP113" s="2"/>
      <c r="BR113" s="2"/>
      <c r="BT113" s="2"/>
      <c r="BV113" s="2"/>
      <c r="BW113" s="2"/>
      <c r="BX113" s="2"/>
      <c r="BZ113" s="2"/>
      <c r="CA113" s="2"/>
      <c r="CB113" s="2"/>
      <c r="CD113" s="2"/>
      <c r="CF113" s="2"/>
      <c r="CG113" s="2"/>
      <c r="CH113" s="2"/>
      <c r="CJ113" s="2"/>
      <c r="CL113" s="2"/>
      <c r="CN113" s="2"/>
      <c r="CP113" s="2"/>
      <c r="CQ113" s="2"/>
      <c r="CR113" s="2"/>
      <c r="CS113" s="2"/>
      <c r="CT113" s="2"/>
      <c r="CV113" s="2"/>
      <c r="CX113" s="2"/>
      <c r="CY113" s="2"/>
      <c r="CZ113" s="2"/>
      <c r="DA113" s="2"/>
      <c r="DB113" s="2"/>
    </row>
    <row r="114" spans="1:106" ht="13.2" x14ac:dyDescent="0.25">
      <c r="A114" s="1"/>
      <c r="B114" s="2"/>
      <c r="D114" s="2"/>
      <c r="F114" s="2"/>
      <c r="H114" s="2"/>
      <c r="J114" s="2"/>
      <c r="L114" s="2"/>
      <c r="N114" s="2"/>
      <c r="P114" s="2"/>
      <c r="R114" s="2"/>
      <c r="T114" s="2"/>
      <c r="V114" s="2"/>
      <c r="X114" s="2"/>
      <c r="Z114" s="2"/>
      <c r="AB114" s="2"/>
      <c r="AD114" s="2"/>
      <c r="AF114" s="2"/>
      <c r="AH114" s="2"/>
      <c r="AJ114" s="2"/>
      <c r="AL114" s="2"/>
      <c r="AN114" s="2"/>
      <c r="AP114" s="2"/>
      <c r="AR114" s="2"/>
      <c r="AT114" s="2"/>
      <c r="AV114" s="2"/>
      <c r="AX114" s="2"/>
      <c r="AZ114" s="2"/>
      <c r="BB114" s="2"/>
      <c r="BD114" s="2"/>
      <c r="BF114" s="2"/>
      <c r="BH114" s="2"/>
      <c r="BJ114" s="2"/>
      <c r="BL114" s="2"/>
      <c r="BN114" s="2"/>
      <c r="BP114" s="2"/>
      <c r="BR114" s="2"/>
      <c r="BT114" s="2"/>
      <c r="BV114" s="2"/>
      <c r="BX114" s="2"/>
      <c r="BZ114" s="2"/>
      <c r="CB114" s="2"/>
      <c r="CD114" s="2"/>
      <c r="CF114" s="2"/>
      <c r="CH114" s="2"/>
      <c r="CJ114" s="2"/>
      <c r="CL114" s="2"/>
      <c r="CN114" s="2"/>
      <c r="CP114" s="2"/>
      <c r="CR114" s="2"/>
      <c r="CT114" s="2"/>
      <c r="CV114" s="2"/>
      <c r="CX114" s="2"/>
      <c r="CZ114" s="2"/>
      <c r="DA114" s="2"/>
    </row>
    <row r="115" spans="1:106" ht="13.2" x14ac:dyDescent="0.25">
      <c r="A115" s="1"/>
      <c r="B115" s="2"/>
      <c r="D115" s="2"/>
      <c r="F115" s="2"/>
      <c r="H115" s="2"/>
      <c r="J115" s="2"/>
      <c r="L115" s="2"/>
      <c r="N115" s="2"/>
      <c r="P115" s="2"/>
      <c r="R115" s="2"/>
      <c r="T115" s="2"/>
      <c r="V115" s="2"/>
      <c r="X115" s="2"/>
      <c r="Z115" s="2"/>
      <c r="AB115" s="2"/>
      <c r="AD115" s="2"/>
      <c r="AF115" s="2"/>
      <c r="AH115" s="2"/>
      <c r="AJ115" s="2"/>
      <c r="AL115" s="2"/>
      <c r="AN115" s="2"/>
      <c r="AP115" s="2"/>
      <c r="AR115" s="2"/>
      <c r="AT115" s="2"/>
      <c r="AV115" s="2"/>
      <c r="AX115" s="2"/>
      <c r="AZ115" s="2"/>
      <c r="BB115" s="2"/>
      <c r="BD115" s="2"/>
      <c r="BE115" s="2"/>
      <c r="BF115" s="2"/>
      <c r="BH115" s="2"/>
      <c r="BJ115" s="2"/>
      <c r="BL115" s="2"/>
      <c r="BN115" s="2"/>
      <c r="BP115" s="2"/>
      <c r="BR115" s="2"/>
      <c r="BT115" s="2"/>
      <c r="BV115" s="2"/>
      <c r="BX115" s="2"/>
      <c r="BZ115" s="2"/>
      <c r="CB115" s="2"/>
      <c r="CD115" s="2"/>
      <c r="CF115" s="2"/>
      <c r="CH115" s="2"/>
      <c r="CJ115" s="2"/>
      <c r="CL115" s="2"/>
      <c r="CN115" s="2"/>
      <c r="CP115" s="2"/>
      <c r="CQ115" s="2"/>
      <c r="CR115" s="2"/>
      <c r="CT115" s="2"/>
      <c r="CV115" s="2"/>
      <c r="CX115" s="2"/>
      <c r="CZ115" s="2"/>
      <c r="DA115" s="2"/>
    </row>
    <row r="116" spans="1:106" ht="13.2" x14ac:dyDescent="0.25">
      <c r="A116" s="1"/>
      <c r="B116" s="2"/>
      <c r="D116" s="2"/>
      <c r="F116" s="2"/>
      <c r="H116" s="2"/>
      <c r="I116" s="2"/>
      <c r="J116" s="2"/>
      <c r="L116" s="2"/>
      <c r="N116" s="2"/>
      <c r="P116" s="2"/>
      <c r="R116" s="2"/>
      <c r="T116" s="2"/>
      <c r="V116" s="2"/>
      <c r="X116" s="2"/>
      <c r="Z116" s="2"/>
      <c r="AB116" s="2"/>
      <c r="AD116" s="2"/>
      <c r="AF116" s="2"/>
      <c r="AH116" s="2"/>
      <c r="AJ116" s="2"/>
      <c r="AL116" s="2"/>
      <c r="AN116" s="2"/>
      <c r="AP116" s="2"/>
      <c r="AR116" s="2"/>
      <c r="AT116" s="2"/>
      <c r="AV116" s="2"/>
      <c r="AX116" s="2"/>
      <c r="AZ116" s="2"/>
      <c r="BB116" s="2"/>
      <c r="BD116" s="2"/>
      <c r="BF116" s="2"/>
      <c r="BH116" s="2"/>
      <c r="BJ116" s="2"/>
      <c r="BL116" s="2"/>
      <c r="BN116" s="2"/>
      <c r="BP116" s="2"/>
      <c r="BR116" s="2"/>
      <c r="BT116" s="2"/>
      <c r="BV116" s="2"/>
      <c r="BX116" s="2"/>
      <c r="BZ116" s="2"/>
      <c r="CB116" s="2"/>
      <c r="CD116" s="2"/>
      <c r="CF116" s="2"/>
      <c r="CH116" s="2"/>
      <c r="CJ116" s="2"/>
      <c r="CL116" s="2"/>
      <c r="CN116" s="2"/>
      <c r="CP116" s="2"/>
      <c r="CR116" s="2"/>
      <c r="CT116" s="2"/>
      <c r="CV116" s="2"/>
      <c r="CW116" s="2"/>
      <c r="CX116" s="2"/>
      <c r="CY116" s="2"/>
      <c r="CZ116" s="2"/>
      <c r="DA116" s="2"/>
      <c r="DB116" s="2"/>
    </row>
    <row r="117" spans="1:106" ht="13.2" x14ac:dyDescent="0.25">
      <c r="A117" s="1"/>
      <c r="B117" s="2"/>
      <c r="D117" s="2"/>
      <c r="F117" s="2"/>
      <c r="G117" s="2"/>
      <c r="H117" s="2"/>
      <c r="I117" s="3"/>
      <c r="J117" s="2"/>
      <c r="L117" s="2"/>
      <c r="N117" s="2"/>
      <c r="P117" s="2"/>
      <c r="R117" s="2"/>
      <c r="S117" s="2"/>
      <c r="T117" s="2"/>
      <c r="V117" s="2"/>
      <c r="W117" s="2"/>
      <c r="X117" s="2"/>
      <c r="Z117" s="2"/>
      <c r="AA117" s="2"/>
      <c r="AB117" s="2"/>
      <c r="AC117" s="2"/>
      <c r="AD117" s="2"/>
      <c r="AF117" s="2"/>
      <c r="AH117" s="2"/>
      <c r="AI117" s="2"/>
      <c r="AJ117" s="2"/>
      <c r="AK117" s="2"/>
      <c r="AL117" s="2"/>
      <c r="AM117" s="2"/>
      <c r="AN117" s="2"/>
      <c r="AO117" s="2"/>
      <c r="AP117" s="2"/>
      <c r="AQ117" s="2"/>
      <c r="AR117" s="2"/>
      <c r="AT117" s="2"/>
      <c r="AV117" s="2"/>
      <c r="AX117" s="2"/>
      <c r="AY117" s="2"/>
      <c r="AZ117" s="2"/>
      <c r="BB117" s="2"/>
      <c r="BD117" s="2"/>
      <c r="BE117" s="2"/>
      <c r="BF117" s="2"/>
      <c r="BH117" s="2"/>
      <c r="BJ117" s="2"/>
      <c r="BL117" s="2"/>
      <c r="BN117" s="2"/>
      <c r="BP117" s="2"/>
      <c r="BR117" s="2"/>
      <c r="BT117" s="2"/>
      <c r="BU117" s="2"/>
      <c r="BV117" s="2"/>
      <c r="BW117" s="2"/>
      <c r="BX117" s="2"/>
      <c r="BY117" s="2"/>
      <c r="BZ117" s="2"/>
      <c r="CB117" s="2"/>
      <c r="CC117" s="2"/>
      <c r="CD117" s="2"/>
      <c r="CF117" s="2"/>
      <c r="CH117" s="2"/>
      <c r="CJ117" s="2"/>
      <c r="CL117" s="2"/>
      <c r="CN117" s="2"/>
      <c r="CO117" s="2"/>
      <c r="CP117" s="2"/>
      <c r="CQ117" s="2"/>
      <c r="CR117" s="2"/>
      <c r="CT117" s="2"/>
      <c r="CU117" s="2"/>
      <c r="CV117" s="2"/>
      <c r="CX117" s="2"/>
      <c r="CZ117" s="2"/>
      <c r="DA117" s="2"/>
      <c r="DB117" s="2"/>
    </row>
    <row r="118" spans="1:106" ht="13.2" x14ac:dyDescent="0.25">
      <c r="A118" s="1"/>
      <c r="B118" s="2"/>
      <c r="C118" s="2"/>
      <c r="D118" s="2"/>
      <c r="F118" s="2"/>
      <c r="H118" s="2"/>
      <c r="J118" s="2"/>
      <c r="K118" s="2"/>
      <c r="L118" s="2"/>
      <c r="N118" s="2"/>
      <c r="O118" s="2"/>
      <c r="P118" s="2"/>
      <c r="R118" s="2"/>
      <c r="T118" s="2"/>
      <c r="V118" s="2"/>
      <c r="X118" s="2"/>
      <c r="Z118" s="2"/>
      <c r="AB118" s="2"/>
      <c r="AD118" s="2"/>
      <c r="AF118" s="2"/>
      <c r="AH118" s="2"/>
      <c r="AJ118" s="2"/>
      <c r="AL118" s="2"/>
      <c r="AN118" s="2"/>
      <c r="AP118" s="2"/>
      <c r="AR118" s="2"/>
      <c r="AT118" s="2"/>
      <c r="AV118" s="2"/>
      <c r="AX118" s="2"/>
      <c r="AZ118" s="2"/>
      <c r="BB118" s="2"/>
      <c r="BD118" s="2"/>
      <c r="BF118" s="2"/>
      <c r="BH118" s="2"/>
      <c r="BJ118" s="2"/>
      <c r="BL118" s="2"/>
      <c r="BN118" s="2"/>
      <c r="BP118" s="2"/>
      <c r="BR118" s="2"/>
      <c r="BT118" s="2"/>
      <c r="BV118" s="2"/>
      <c r="BX118" s="2"/>
      <c r="BZ118" s="2"/>
      <c r="CB118" s="2"/>
      <c r="CD118" s="2"/>
      <c r="CF118" s="2"/>
      <c r="CH118" s="2"/>
      <c r="CJ118" s="2"/>
      <c r="CL118" s="2"/>
      <c r="CN118" s="2"/>
      <c r="CP118" s="2"/>
      <c r="CR118" s="2"/>
      <c r="CT118" s="2"/>
      <c r="CV118" s="2"/>
      <c r="CX118" s="2"/>
      <c r="CZ118" s="2"/>
      <c r="DA118" s="2"/>
      <c r="DB118" s="2"/>
    </row>
    <row r="119" spans="1:106" ht="13.2" x14ac:dyDescent="0.25">
      <c r="A119" s="1"/>
      <c r="B119" s="2"/>
      <c r="D119" s="2"/>
      <c r="F119" s="2"/>
      <c r="H119" s="2"/>
      <c r="I119" s="2"/>
      <c r="J119" s="2"/>
      <c r="L119" s="2"/>
      <c r="N119" s="2"/>
      <c r="P119" s="2"/>
      <c r="R119" s="2"/>
      <c r="T119" s="2"/>
      <c r="V119" s="2"/>
      <c r="X119" s="2"/>
      <c r="Z119" s="2"/>
      <c r="AB119" s="2"/>
      <c r="AD119" s="2"/>
      <c r="AF119" s="2"/>
      <c r="AH119" s="2"/>
      <c r="AJ119" s="2"/>
      <c r="AL119" s="2"/>
      <c r="AN119" s="2"/>
      <c r="AP119" s="2"/>
      <c r="AR119" s="2"/>
      <c r="AT119" s="2"/>
      <c r="AV119" s="2"/>
      <c r="AX119" s="2"/>
      <c r="AZ119" s="2"/>
      <c r="BB119" s="2"/>
      <c r="BD119" s="2"/>
      <c r="BF119" s="2"/>
      <c r="BH119" s="2"/>
      <c r="BJ119" s="2"/>
      <c r="BL119" s="2"/>
      <c r="BN119" s="2"/>
      <c r="BP119" s="2"/>
      <c r="BR119" s="2"/>
      <c r="BT119" s="2"/>
      <c r="BV119" s="2"/>
      <c r="BX119" s="2"/>
      <c r="BZ119" s="2"/>
      <c r="CB119" s="2"/>
      <c r="CD119" s="2"/>
      <c r="CF119" s="2"/>
      <c r="CH119" s="2"/>
      <c r="CJ119" s="2"/>
      <c r="CL119" s="2"/>
      <c r="CN119" s="2"/>
      <c r="CP119" s="2"/>
      <c r="CR119" s="2"/>
      <c r="CT119" s="2"/>
      <c r="CV119" s="2"/>
      <c r="CX119" s="2"/>
      <c r="CZ119" s="2"/>
      <c r="DA119" s="2"/>
    </row>
    <row r="120" spans="1:106" ht="13.2" x14ac:dyDescent="0.25">
      <c r="A120" s="1"/>
      <c r="B120" s="2"/>
      <c r="D120" s="2"/>
      <c r="F120" s="2"/>
      <c r="H120" s="2"/>
      <c r="J120" s="2"/>
      <c r="L120" s="2"/>
      <c r="N120" s="2"/>
      <c r="P120" s="2"/>
      <c r="R120" s="2"/>
      <c r="T120" s="2"/>
      <c r="V120" s="2"/>
      <c r="X120" s="2"/>
      <c r="Z120" s="2"/>
      <c r="AB120" s="2"/>
      <c r="AD120" s="2"/>
      <c r="AF120" s="2"/>
      <c r="AH120" s="2"/>
      <c r="AJ120" s="2"/>
      <c r="AL120" s="2"/>
      <c r="AN120" s="2"/>
      <c r="AP120" s="2"/>
      <c r="AR120" s="2"/>
      <c r="AT120" s="2"/>
      <c r="AV120" s="2"/>
      <c r="AX120" s="2"/>
      <c r="AZ120" s="2"/>
      <c r="BB120" s="2"/>
      <c r="BD120" s="2"/>
      <c r="BF120" s="2"/>
      <c r="BH120" s="2"/>
      <c r="BJ120" s="2"/>
      <c r="BL120" s="2"/>
      <c r="BN120" s="2"/>
      <c r="BP120" s="2"/>
      <c r="BR120" s="2"/>
      <c r="BT120" s="2"/>
      <c r="BV120" s="2"/>
      <c r="BW120" s="2"/>
      <c r="BX120" s="2"/>
      <c r="BY120" s="2"/>
      <c r="BZ120" s="2"/>
      <c r="CB120" s="2"/>
      <c r="CD120" s="2"/>
      <c r="CF120" s="2"/>
      <c r="CH120" s="2"/>
      <c r="CJ120" s="2"/>
      <c r="CL120" s="2"/>
      <c r="CN120" s="2"/>
      <c r="CP120" s="2"/>
      <c r="CR120" s="2"/>
      <c r="CT120" s="2"/>
      <c r="CV120" s="2"/>
      <c r="CX120" s="2"/>
      <c r="CZ120" s="2"/>
      <c r="DA120" s="2"/>
      <c r="DB120" s="2"/>
    </row>
    <row r="121" spans="1:106" ht="13.2" x14ac:dyDescent="0.25">
      <c r="A121" s="1"/>
      <c r="B121" s="2"/>
      <c r="D121" s="2"/>
      <c r="F121" s="2"/>
      <c r="H121" s="2"/>
      <c r="J121" s="2"/>
      <c r="L121" s="2"/>
      <c r="N121" s="2"/>
      <c r="P121" s="2"/>
      <c r="R121" s="2"/>
      <c r="T121" s="2"/>
      <c r="V121" s="2"/>
      <c r="X121" s="2"/>
      <c r="Z121" s="2"/>
      <c r="AB121" s="2"/>
      <c r="AD121" s="2"/>
      <c r="AF121" s="2"/>
      <c r="AH121" s="2"/>
      <c r="AJ121" s="2"/>
      <c r="AL121" s="2"/>
      <c r="AN121" s="2"/>
      <c r="AP121" s="2"/>
      <c r="AR121" s="2"/>
      <c r="AT121" s="2"/>
      <c r="AV121" s="2"/>
      <c r="AX121" s="2"/>
      <c r="AZ121" s="2"/>
      <c r="BB121" s="2"/>
      <c r="BD121" s="2"/>
      <c r="BF121" s="2"/>
      <c r="BH121" s="2"/>
      <c r="BJ121" s="2"/>
      <c r="BL121" s="2"/>
      <c r="BN121" s="2"/>
      <c r="BP121" s="2"/>
      <c r="BR121" s="2"/>
      <c r="BT121" s="2"/>
      <c r="BV121" s="2"/>
      <c r="BX121" s="2"/>
      <c r="BZ121" s="2"/>
      <c r="CB121" s="2"/>
      <c r="CD121" s="2"/>
      <c r="CF121" s="2"/>
      <c r="CH121" s="2"/>
      <c r="CJ121" s="2"/>
      <c r="CL121" s="2"/>
      <c r="CN121" s="2"/>
      <c r="CP121" s="2"/>
      <c r="CR121" s="2"/>
      <c r="CT121" s="2"/>
      <c r="CV121" s="2"/>
      <c r="CX121" s="2"/>
      <c r="CZ121" s="2"/>
      <c r="DA121" s="2"/>
    </row>
    <row r="122" spans="1:106" ht="13.2" x14ac:dyDescent="0.25">
      <c r="A122" s="1"/>
      <c r="B122" s="2"/>
      <c r="D122" s="2"/>
      <c r="F122" s="2"/>
      <c r="H122" s="2"/>
      <c r="J122" s="2"/>
      <c r="L122" s="2"/>
      <c r="N122" s="2"/>
      <c r="P122" s="2"/>
      <c r="R122" s="2"/>
      <c r="T122" s="2"/>
      <c r="V122" s="2"/>
      <c r="X122" s="2"/>
      <c r="Z122" s="2"/>
      <c r="AB122" s="2"/>
      <c r="AD122" s="2"/>
      <c r="AF122" s="2"/>
      <c r="AH122" s="2"/>
      <c r="AJ122" s="2"/>
      <c r="AL122" s="2"/>
      <c r="AN122" s="2"/>
      <c r="AP122" s="2"/>
      <c r="AR122" s="2"/>
      <c r="AT122" s="2"/>
      <c r="AV122" s="2"/>
      <c r="AX122" s="2"/>
      <c r="AZ122" s="2"/>
      <c r="BB122" s="2"/>
      <c r="BD122" s="2"/>
      <c r="BF122" s="2"/>
      <c r="BH122" s="2"/>
      <c r="BJ122" s="2"/>
      <c r="BL122" s="2"/>
      <c r="BN122" s="2"/>
      <c r="BP122" s="2"/>
      <c r="BR122" s="2"/>
      <c r="BT122" s="2"/>
      <c r="BV122" s="2"/>
      <c r="BX122" s="2"/>
      <c r="BZ122" s="2"/>
      <c r="CB122" s="2"/>
      <c r="CD122" s="2"/>
      <c r="CF122" s="2"/>
      <c r="CH122" s="2"/>
      <c r="CJ122" s="2"/>
      <c r="CL122" s="2"/>
      <c r="CN122" s="2"/>
      <c r="CP122" s="2"/>
      <c r="CR122" s="2"/>
      <c r="CT122" s="2"/>
      <c r="CV122" s="2"/>
      <c r="CX122" s="2"/>
      <c r="CZ122" s="2"/>
      <c r="DA122" s="2"/>
      <c r="DB122" s="2"/>
    </row>
    <row r="123" spans="1:106" ht="13.2" x14ac:dyDescent="0.25">
      <c r="A123" s="1"/>
      <c r="B123" s="2"/>
      <c r="D123" s="2"/>
      <c r="F123" s="2"/>
      <c r="H123" s="2"/>
      <c r="J123" s="2"/>
      <c r="L123" s="2"/>
      <c r="N123" s="2"/>
      <c r="P123" s="2"/>
      <c r="R123" s="2"/>
      <c r="T123" s="2"/>
      <c r="V123" s="2"/>
      <c r="X123" s="2"/>
      <c r="Z123" s="2"/>
      <c r="AB123" s="2"/>
      <c r="AD123" s="2"/>
      <c r="AF123" s="2"/>
      <c r="AH123" s="2"/>
      <c r="AJ123" s="2"/>
      <c r="AL123" s="2"/>
      <c r="AN123" s="2"/>
      <c r="AP123" s="2"/>
      <c r="AR123" s="2"/>
      <c r="AT123" s="2"/>
      <c r="AV123" s="2"/>
      <c r="AX123" s="2"/>
      <c r="AZ123" s="2"/>
      <c r="BB123" s="2"/>
      <c r="BD123" s="2"/>
      <c r="BF123" s="2"/>
      <c r="BH123" s="2"/>
      <c r="BJ123" s="2"/>
      <c r="BL123" s="2"/>
      <c r="BN123" s="2"/>
      <c r="BP123" s="2"/>
      <c r="BR123" s="2"/>
      <c r="BT123" s="2"/>
      <c r="BV123" s="2"/>
      <c r="BX123" s="2"/>
      <c r="BZ123" s="2"/>
      <c r="CB123" s="2"/>
      <c r="CD123" s="2"/>
      <c r="CF123" s="2"/>
      <c r="CH123" s="2"/>
      <c r="CJ123" s="2"/>
      <c r="CL123" s="2"/>
      <c r="CN123" s="2"/>
      <c r="CP123" s="2"/>
      <c r="CR123" s="2"/>
      <c r="CT123" s="2"/>
      <c r="CV123" s="2"/>
      <c r="CX123" s="2"/>
      <c r="CZ123" s="2"/>
      <c r="DA123" s="2"/>
      <c r="DB123" s="2"/>
    </row>
    <row r="124" spans="1:106" ht="13.2" x14ac:dyDescent="0.25">
      <c r="A124" s="1"/>
      <c r="B124" s="2"/>
      <c r="D124" s="2"/>
      <c r="F124" s="2"/>
      <c r="H124" s="2"/>
      <c r="J124" s="2"/>
      <c r="L124" s="2"/>
      <c r="N124" s="2"/>
      <c r="P124" s="2"/>
      <c r="R124" s="2"/>
      <c r="T124" s="2"/>
      <c r="V124" s="2"/>
      <c r="X124" s="2"/>
      <c r="Z124" s="2"/>
      <c r="AB124" s="2"/>
      <c r="AD124" s="2"/>
      <c r="AF124" s="2"/>
      <c r="AH124" s="2"/>
      <c r="AJ124" s="2"/>
      <c r="AL124" s="2"/>
      <c r="AN124" s="2"/>
      <c r="AP124" s="2"/>
      <c r="AR124" s="2"/>
      <c r="AT124" s="2"/>
      <c r="AV124" s="2"/>
      <c r="AX124" s="2"/>
      <c r="AZ124" s="2"/>
      <c r="BB124" s="2"/>
      <c r="BD124" s="2"/>
      <c r="BF124" s="2"/>
      <c r="BH124" s="2"/>
      <c r="BJ124" s="2"/>
      <c r="BL124" s="2"/>
      <c r="BN124" s="2"/>
      <c r="BP124" s="2"/>
      <c r="BR124" s="2"/>
      <c r="BT124" s="2"/>
      <c r="BV124" s="2"/>
      <c r="BX124" s="2"/>
      <c r="BZ124" s="2"/>
      <c r="CB124" s="2"/>
      <c r="CD124" s="2"/>
      <c r="CF124" s="2"/>
      <c r="CH124" s="2"/>
      <c r="CJ124" s="2"/>
      <c r="CL124" s="2"/>
      <c r="CN124" s="2"/>
      <c r="CP124" s="2"/>
      <c r="CR124" s="2"/>
      <c r="CT124" s="2"/>
      <c r="CV124" s="2"/>
      <c r="CX124" s="2"/>
      <c r="CZ124" s="2"/>
      <c r="DA124" s="2"/>
    </row>
    <row r="125" spans="1:106" ht="13.2" x14ac:dyDescent="0.25">
      <c r="A125" s="1"/>
      <c r="B125" s="2"/>
      <c r="D125" s="2"/>
      <c r="F125" s="2"/>
      <c r="H125" s="2"/>
      <c r="J125" s="2"/>
      <c r="L125" s="2"/>
      <c r="N125" s="2"/>
      <c r="P125" s="2"/>
      <c r="R125" s="2"/>
      <c r="S125" s="2"/>
      <c r="T125" s="2"/>
      <c r="V125" s="2"/>
      <c r="X125" s="2"/>
      <c r="Z125" s="2"/>
      <c r="AB125" s="2"/>
      <c r="AD125" s="2"/>
      <c r="AF125" s="2"/>
      <c r="AH125" s="2"/>
      <c r="AJ125" s="2"/>
      <c r="AL125" s="2"/>
      <c r="AN125" s="2"/>
      <c r="AP125" s="2"/>
      <c r="AR125" s="2"/>
      <c r="AT125" s="2"/>
      <c r="AV125" s="2"/>
      <c r="AX125" s="2"/>
      <c r="AZ125" s="2"/>
      <c r="BB125" s="2"/>
      <c r="BD125" s="2"/>
      <c r="BF125" s="2"/>
      <c r="BH125" s="2"/>
      <c r="BJ125" s="2"/>
      <c r="BL125" s="2"/>
      <c r="BN125" s="2"/>
      <c r="BP125" s="2"/>
      <c r="BR125" s="2"/>
      <c r="BT125" s="2"/>
      <c r="BV125" s="2"/>
      <c r="BX125" s="2"/>
      <c r="BZ125" s="2"/>
      <c r="CB125" s="2"/>
      <c r="CD125" s="2"/>
      <c r="CF125" s="2"/>
      <c r="CH125" s="2"/>
      <c r="CJ125" s="2"/>
      <c r="CL125" s="2"/>
      <c r="CN125" s="2"/>
      <c r="CP125" s="2"/>
      <c r="CR125" s="2"/>
      <c r="CT125" s="2"/>
      <c r="CV125" s="2"/>
      <c r="CX125" s="2"/>
      <c r="CY125" s="2"/>
      <c r="CZ125" s="2"/>
      <c r="DA125" s="2"/>
      <c r="DB125" s="2"/>
    </row>
    <row r="126" spans="1:106" ht="13.2"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row>
    <row r="127" spans="1:106" ht="13.2" x14ac:dyDescent="0.25">
      <c r="A127" s="1"/>
      <c r="B127" s="2"/>
      <c r="C127" s="2"/>
      <c r="D127" s="2"/>
      <c r="F127" s="2"/>
      <c r="H127" s="2"/>
      <c r="J127" s="2"/>
      <c r="L127" s="2"/>
      <c r="N127" s="2"/>
      <c r="P127" s="2"/>
      <c r="R127" s="2"/>
      <c r="T127" s="2"/>
      <c r="V127" s="2"/>
      <c r="X127" s="2"/>
      <c r="Z127" s="2"/>
      <c r="AB127" s="2"/>
      <c r="AD127" s="2"/>
      <c r="AF127" s="2"/>
      <c r="AH127" s="2"/>
      <c r="AJ127" s="2"/>
      <c r="AL127" s="2"/>
      <c r="AN127" s="2"/>
      <c r="AP127" s="2"/>
      <c r="AR127" s="2"/>
      <c r="AT127" s="2"/>
      <c r="AV127" s="2"/>
      <c r="AX127" s="2"/>
      <c r="AZ127" s="2"/>
      <c r="BB127" s="2"/>
      <c r="BD127" s="2"/>
      <c r="BF127" s="2"/>
      <c r="BH127" s="2"/>
      <c r="BJ127" s="2"/>
      <c r="BL127" s="2"/>
      <c r="BN127" s="2"/>
      <c r="BP127" s="2"/>
      <c r="BR127" s="2"/>
      <c r="BT127" s="2"/>
      <c r="BV127" s="2"/>
      <c r="BX127" s="2"/>
      <c r="BZ127" s="2"/>
      <c r="CB127" s="2"/>
      <c r="CD127" s="2"/>
      <c r="CF127" s="2"/>
      <c r="CH127" s="2"/>
      <c r="CJ127" s="2"/>
      <c r="CL127" s="2"/>
      <c r="CN127" s="2"/>
      <c r="CP127" s="2"/>
      <c r="CR127" s="2"/>
      <c r="CT127" s="2"/>
      <c r="CV127" s="2"/>
      <c r="CX127" s="2"/>
      <c r="CZ127" s="2"/>
      <c r="DA127" s="2"/>
    </row>
    <row r="128" spans="1:106" ht="13.2" x14ac:dyDescent="0.25">
      <c r="A128" s="1"/>
      <c r="B128" s="2"/>
      <c r="D128" s="2"/>
      <c r="F128" s="2"/>
      <c r="H128" s="2"/>
      <c r="J128" s="2"/>
      <c r="L128" s="2"/>
      <c r="N128" s="2"/>
      <c r="P128" s="2"/>
      <c r="R128" s="2"/>
      <c r="T128" s="2"/>
      <c r="V128" s="2"/>
      <c r="X128" s="2"/>
      <c r="Z128" s="2"/>
      <c r="AB128" s="2"/>
      <c r="AD128" s="2"/>
      <c r="AF128" s="2"/>
      <c r="AH128" s="2"/>
      <c r="AJ128" s="2"/>
      <c r="AL128" s="2"/>
      <c r="AN128" s="2"/>
      <c r="AP128" s="2"/>
      <c r="AR128" s="2"/>
      <c r="AT128" s="2"/>
      <c r="AV128" s="2"/>
      <c r="AX128" s="2"/>
      <c r="AZ128" s="2"/>
      <c r="BB128" s="2"/>
      <c r="BD128" s="2"/>
      <c r="BF128" s="2"/>
      <c r="BH128" s="2"/>
      <c r="BJ128" s="2"/>
      <c r="BL128" s="2"/>
      <c r="BN128" s="2"/>
      <c r="BP128" s="2"/>
      <c r="BR128" s="2"/>
      <c r="BT128" s="2"/>
      <c r="BV128" s="2"/>
      <c r="BX128" s="2"/>
      <c r="BZ128" s="2"/>
      <c r="CB128" s="2"/>
      <c r="CD128" s="2"/>
      <c r="CF128" s="2"/>
      <c r="CH128" s="2"/>
      <c r="CJ128" s="2"/>
      <c r="CL128" s="2"/>
      <c r="CN128" s="2"/>
      <c r="CP128" s="2"/>
      <c r="CR128" s="2"/>
      <c r="CT128" s="2"/>
      <c r="CV128" s="2"/>
      <c r="CX128" s="2"/>
      <c r="CZ128" s="2"/>
      <c r="DA128" s="2"/>
    </row>
    <row r="129" spans="1:106" ht="13.2" x14ac:dyDescent="0.25">
      <c r="A129" s="1"/>
      <c r="B129" s="2"/>
      <c r="D129" s="2"/>
      <c r="F129" s="2"/>
      <c r="H129" s="2"/>
      <c r="J129" s="2"/>
      <c r="L129" s="2"/>
      <c r="N129" s="2"/>
      <c r="P129" s="2"/>
      <c r="R129" s="2"/>
      <c r="T129" s="2"/>
      <c r="V129" s="2"/>
      <c r="X129" s="2"/>
      <c r="Z129" s="2"/>
      <c r="AB129" s="2"/>
      <c r="AD129" s="2"/>
      <c r="AF129" s="2"/>
      <c r="AH129" s="2"/>
      <c r="AJ129" s="2"/>
      <c r="AL129" s="2"/>
      <c r="AN129" s="2"/>
      <c r="AP129" s="2"/>
      <c r="AR129" s="2"/>
      <c r="AT129" s="2"/>
      <c r="AV129" s="2"/>
      <c r="AX129" s="2"/>
      <c r="AZ129" s="2"/>
      <c r="BB129" s="2"/>
      <c r="BD129" s="2"/>
      <c r="BF129" s="2"/>
      <c r="BH129" s="2"/>
      <c r="BJ129" s="2"/>
      <c r="BL129" s="2"/>
      <c r="BN129" s="2"/>
      <c r="BP129" s="2"/>
      <c r="BR129" s="2"/>
      <c r="BT129" s="2"/>
      <c r="BU129" s="2"/>
      <c r="BV129" s="2"/>
      <c r="BX129" s="2"/>
      <c r="BZ129" s="2"/>
      <c r="CB129" s="2"/>
      <c r="CD129" s="2"/>
      <c r="CF129" s="2"/>
      <c r="CG129" s="2"/>
      <c r="CH129" s="2"/>
      <c r="CJ129" s="2"/>
      <c r="CL129" s="2"/>
      <c r="CN129" s="2"/>
      <c r="CP129" s="2"/>
      <c r="CR129" s="2"/>
      <c r="CT129" s="2"/>
      <c r="CV129" s="2"/>
      <c r="CX129" s="2"/>
      <c r="CY129" s="2"/>
      <c r="CZ129" s="2"/>
      <c r="DA129" s="2"/>
    </row>
    <row r="130" spans="1:106" ht="13.2" x14ac:dyDescent="0.25">
      <c r="A130" s="1"/>
      <c r="B130" s="2"/>
      <c r="D130" s="2"/>
      <c r="F130" s="2"/>
      <c r="G130" s="2"/>
      <c r="H130" s="2"/>
      <c r="I130" s="2"/>
      <c r="J130" s="2"/>
      <c r="K130" s="2"/>
      <c r="L130" s="2"/>
      <c r="M130" s="2"/>
      <c r="N130" s="2"/>
      <c r="O130" s="2"/>
      <c r="P130" s="2"/>
      <c r="R130" s="2"/>
      <c r="T130" s="2"/>
      <c r="U130" s="2"/>
      <c r="V130" s="2"/>
      <c r="X130" s="2"/>
      <c r="Y130" s="2"/>
      <c r="Z130" s="2"/>
      <c r="AA130" s="2"/>
      <c r="AB130" s="2"/>
      <c r="AD130" s="2"/>
      <c r="AE130" s="2"/>
      <c r="AF130" s="2"/>
      <c r="AH130" s="2"/>
      <c r="AI130" s="2"/>
      <c r="AJ130" s="2"/>
      <c r="AL130" s="2"/>
      <c r="AM130" s="2"/>
      <c r="AN130" s="2"/>
      <c r="AO130" s="2"/>
      <c r="AP130" s="2"/>
      <c r="AQ130" s="2"/>
      <c r="AR130" s="2"/>
      <c r="AS130" s="2"/>
      <c r="AT130" s="2"/>
      <c r="AU130" s="2"/>
      <c r="AV130" s="2"/>
      <c r="AX130" s="2"/>
      <c r="AY130" s="2"/>
      <c r="AZ130" s="2"/>
      <c r="BB130" s="2"/>
      <c r="BC130" s="2"/>
      <c r="BD130" s="2"/>
      <c r="BF130" s="2"/>
      <c r="BG130" s="2"/>
      <c r="BH130" s="2"/>
      <c r="BI130" s="2"/>
      <c r="BJ130" s="2"/>
      <c r="BL130" s="2"/>
      <c r="BN130" s="2"/>
      <c r="BP130" s="2"/>
      <c r="BR130" s="2"/>
      <c r="BT130" s="2"/>
      <c r="BU130" s="2"/>
      <c r="BV130" s="2"/>
      <c r="BW130" s="2"/>
      <c r="BX130" s="2"/>
      <c r="BZ130" s="2"/>
      <c r="CB130" s="2"/>
      <c r="CD130" s="2"/>
      <c r="CF130" s="2"/>
      <c r="CG130" s="2"/>
      <c r="CH130" s="2"/>
      <c r="CJ130" s="2"/>
      <c r="CK130" s="2"/>
      <c r="CL130" s="2"/>
      <c r="CN130" s="2"/>
      <c r="CP130" s="2"/>
      <c r="CR130" s="2"/>
      <c r="CT130" s="2"/>
      <c r="CU130" s="2"/>
      <c r="CV130" s="2"/>
      <c r="CW130" s="2"/>
      <c r="CX130" s="2"/>
      <c r="CZ130" s="2"/>
      <c r="DA130" s="2"/>
      <c r="DB130" s="2"/>
    </row>
    <row r="131" spans="1:106" ht="13.2" x14ac:dyDescent="0.25">
      <c r="A131" s="1"/>
      <c r="B131" s="2"/>
      <c r="D131" s="2"/>
      <c r="F131" s="2"/>
      <c r="H131" s="2"/>
      <c r="I131" s="2"/>
      <c r="J131" s="2"/>
      <c r="K131" s="2"/>
      <c r="L131" s="2"/>
      <c r="N131" s="2"/>
      <c r="O131" s="2"/>
      <c r="P131" s="2"/>
      <c r="R131" s="2"/>
      <c r="T131" s="2"/>
      <c r="V131" s="2"/>
      <c r="X131" s="2"/>
      <c r="Y131" s="2"/>
      <c r="Z131" s="2"/>
      <c r="AB131" s="2"/>
      <c r="AD131" s="2"/>
      <c r="AF131" s="2"/>
      <c r="AH131" s="2"/>
      <c r="AJ131" s="2"/>
      <c r="AL131" s="2"/>
      <c r="AN131" s="2"/>
      <c r="AP131" s="2"/>
      <c r="AR131" s="2"/>
      <c r="AT131" s="2"/>
      <c r="AV131" s="2"/>
      <c r="AX131" s="2"/>
      <c r="AZ131" s="2"/>
      <c r="BB131" s="2"/>
      <c r="BD131" s="2"/>
      <c r="BF131" s="2"/>
      <c r="BH131" s="2"/>
      <c r="BJ131" s="2"/>
      <c r="BL131" s="2"/>
      <c r="BN131" s="2"/>
      <c r="BP131" s="2"/>
      <c r="BR131" s="2"/>
      <c r="BT131" s="2"/>
      <c r="BV131" s="2"/>
      <c r="BX131" s="2"/>
      <c r="BZ131" s="2"/>
      <c r="CA131" s="2"/>
      <c r="CB131" s="2"/>
      <c r="CD131" s="2"/>
      <c r="CF131" s="2"/>
      <c r="CH131" s="2"/>
      <c r="CJ131" s="2"/>
      <c r="CL131" s="2"/>
      <c r="CN131" s="2"/>
      <c r="CP131" s="2"/>
      <c r="CR131" s="2"/>
      <c r="CT131" s="2"/>
      <c r="CV131" s="2"/>
      <c r="CX131" s="2"/>
      <c r="CZ131" s="2"/>
      <c r="DA131" s="2"/>
    </row>
    <row r="132" spans="1:106" ht="13.2" x14ac:dyDescent="0.25">
      <c r="A132" s="1"/>
      <c r="B132" s="2"/>
      <c r="D132" s="2"/>
      <c r="F132" s="2"/>
      <c r="G132" s="2"/>
      <c r="H132" s="2"/>
      <c r="J132" s="2"/>
      <c r="K132" s="2"/>
      <c r="L132" s="2"/>
      <c r="N132" s="2"/>
      <c r="P132" s="2"/>
      <c r="R132" s="2"/>
      <c r="T132" s="2"/>
      <c r="V132" s="2"/>
      <c r="X132" s="2"/>
      <c r="Z132" s="2"/>
      <c r="AB132" s="2"/>
      <c r="AD132" s="2"/>
      <c r="AF132" s="2"/>
      <c r="AH132" s="2"/>
      <c r="AJ132" s="2"/>
      <c r="AL132" s="2"/>
      <c r="AN132" s="2"/>
      <c r="AP132" s="2"/>
      <c r="AR132" s="2"/>
      <c r="AT132" s="2"/>
      <c r="AV132" s="2"/>
      <c r="AX132" s="2"/>
      <c r="AZ132" s="2"/>
      <c r="BB132" s="2"/>
      <c r="BD132" s="2"/>
      <c r="BF132" s="2"/>
      <c r="BH132" s="2"/>
      <c r="BJ132" s="2"/>
      <c r="BL132" s="2"/>
      <c r="BN132" s="2"/>
      <c r="BP132" s="2"/>
      <c r="BR132" s="2"/>
      <c r="BT132" s="2"/>
      <c r="BV132" s="2"/>
      <c r="BX132" s="2"/>
      <c r="BZ132" s="2"/>
      <c r="CA132" s="2"/>
      <c r="CB132" s="2"/>
      <c r="CD132" s="2"/>
      <c r="CF132" s="2"/>
      <c r="CH132" s="2"/>
      <c r="CJ132" s="2"/>
      <c r="CL132" s="2"/>
      <c r="CN132" s="2"/>
      <c r="CP132" s="2"/>
      <c r="CR132" s="2"/>
      <c r="CT132" s="2"/>
      <c r="CV132" s="2"/>
      <c r="CX132" s="2"/>
      <c r="CZ132" s="2"/>
      <c r="DA132" s="2"/>
    </row>
    <row r="133" spans="1:106" ht="13.2" x14ac:dyDescent="0.25">
      <c r="A133" s="1"/>
      <c r="B133" s="2"/>
      <c r="D133" s="2"/>
      <c r="F133" s="2"/>
      <c r="H133" s="2"/>
      <c r="J133" s="2"/>
      <c r="L133" s="2"/>
      <c r="N133" s="2"/>
      <c r="P133" s="2"/>
      <c r="R133" s="2"/>
      <c r="T133" s="2"/>
      <c r="V133" s="2"/>
      <c r="X133" s="2"/>
      <c r="Z133" s="2"/>
      <c r="AB133" s="2"/>
      <c r="AD133" s="2"/>
      <c r="AF133" s="2"/>
      <c r="AH133" s="2"/>
      <c r="AJ133" s="2"/>
      <c r="AL133" s="2"/>
      <c r="AN133" s="2"/>
      <c r="AP133" s="2"/>
      <c r="AR133" s="2"/>
      <c r="AT133" s="2"/>
      <c r="AV133" s="2"/>
      <c r="AX133" s="2"/>
      <c r="AZ133" s="2"/>
      <c r="BB133" s="2"/>
      <c r="BD133" s="2"/>
      <c r="BF133" s="2"/>
      <c r="BH133" s="2"/>
      <c r="BJ133" s="2"/>
      <c r="BL133" s="2"/>
      <c r="BN133" s="2"/>
      <c r="BP133" s="2"/>
      <c r="BR133" s="2"/>
      <c r="BT133" s="2"/>
      <c r="BV133" s="2"/>
      <c r="BX133" s="2"/>
      <c r="BZ133" s="2"/>
      <c r="CB133" s="2"/>
      <c r="CD133" s="2"/>
      <c r="CF133" s="2"/>
      <c r="CH133" s="2"/>
      <c r="CJ133" s="2"/>
      <c r="CL133" s="2"/>
      <c r="CN133" s="2"/>
      <c r="CP133" s="2"/>
      <c r="CR133" s="2"/>
      <c r="CT133" s="2"/>
      <c r="CV133" s="2"/>
      <c r="CX133" s="2"/>
      <c r="CZ133" s="2"/>
      <c r="DA133" s="2"/>
    </row>
    <row r="134" spans="1:106" ht="13.2" x14ac:dyDescent="0.25">
      <c r="A134" s="1"/>
      <c r="B134" s="2"/>
      <c r="D134" s="2"/>
      <c r="F134" s="2"/>
      <c r="H134" s="2"/>
      <c r="J134" s="2"/>
      <c r="L134" s="2"/>
      <c r="N134" s="2"/>
      <c r="P134" s="2"/>
      <c r="R134" s="2"/>
      <c r="T134" s="2"/>
      <c r="V134" s="2"/>
      <c r="X134" s="2"/>
      <c r="Z134" s="2"/>
      <c r="AB134" s="2"/>
      <c r="AD134" s="2"/>
      <c r="AF134" s="2"/>
      <c r="AH134" s="2"/>
      <c r="AJ134" s="2"/>
      <c r="AL134" s="2"/>
      <c r="AN134" s="2"/>
      <c r="AP134" s="2"/>
      <c r="AR134" s="2"/>
      <c r="AT134" s="2"/>
      <c r="AV134" s="2"/>
      <c r="AX134" s="2"/>
      <c r="AZ134" s="2"/>
      <c r="BB134" s="2"/>
      <c r="BD134" s="2"/>
      <c r="BF134" s="2"/>
      <c r="BH134" s="2"/>
      <c r="BJ134" s="2"/>
      <c r="BL134" s="2"/>
      <c r="BN134" s="2"/>
      <c r="BP134" s="2"/>
      <c r="BR134" s="2"/>
      <c r="BT134" s="2"/>
      <c r="BV134" s="2"/>
      <c r="BX134" s="2"/>
      <c r="BZ134" s="2"/>
      <c r="CB134" s="2"/>
      <c r="CD134" s="2"/>
      <c r="CF134" s="2"/>
      <c r="CH134" s="2"/>
      <c r="CJ134" s="2"/>
      <c r="CL134" s="2"/>
      <c r="CN134" s="2"/>
      <c r="CP134" s="2"/>
      <c r="CR134" s="2"/>
      <c r="CT134" s="2"/>
      <c r="CV134" s="2"/>
      <c r="CX134" s="2"/>
      <c r="CZ134" s="2"/>
      <c r="DA134" s="2"/>
    </row>
    <row r="135" spans="1:106" ht="13.2"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D135" s="2"/>
      <c r="AF135" s="2"/>
      <c r="AH135" s="2"/>
      <c r="AJ135" s="2"/>
      <c r="AL135" s="2"/>
      <c r="AN135" s="2"/>
      <c r="AP135" s="2"/>
      <c r="AR135" s="2"/>
      <c r="AT135" s="2"/>
      <c r="AV135" s="2"/>
      <c r="AX135" s="2"/>
      <c r="AZ135" s="2"/>
      <c r="BB135" s="2"/>
      <c r="BD135" s="2"/>
      <c r="BF135" s="2"/>
      <c r="BH135" s="2"/>
      <c r="BJ135" s="2"/>
      <c r="BL135" s="2"/>
      <c r="BN135" s="2"/>
      <c r="BP135" s="2"/>
      <c r="BR135" s="2"/>
      <c r="BT135" s="2"/>
      <c r="BV135" s="2"/>
      <c r="BX135" s="2"/>
      <c r="BZ135" s="2"/>
      <c r="CB135" s="2"/>
      <c r="CC135" s="2"/>
      <c r="CD135" s="2"/>
      <c r="CF135" s="2"/>
      <c r="CH135" s="2"/>
      <c r="CJ135" s="2"/>
      <c r="CL135" s="2"/>
      <c r="CN135" s="2"/>
      <c r="CO135" s="2"/>
      <c r="CP135" s="2"/>
      <c r="CQ135" s="2"/>
      <c r="CR135" s="2"/>
      <c r="CT135" s="2"/>
      <c r="CV135" s="2"/>
      <c r="CX135" s="2"/>
      <c r="CZ135" s="2"/>
      <c r="DA135" s="2"/>
    </row>
    <row r="136" spans="1:106" ht="13.2" x14ac:dyDescent="0.25">
      <c r="A136" s="1"/>
      <c r="B136" s="2"/>
      <c r="D136" s="2"/>
      <c r="F136" s="2"/>
      <c r="H136" s="2"/>
      <c r="J136" s="2"/>
      <c r="L136" s="2"/>
      <c r="N136" s="2"/>
      <c r="P136" s="2"/>
      <c r="R136" s="2"/>
      <c r="T136" s="2"/>
      <c r="V136" s="2"/>
      <c r="X136" s="2"/>
      <c r="Z136" s="2"/>
      <c r="AB136" s="2"/>
      <c r="AD136" s="2"/>
      <c r="AF136" s="2"/>
      <c r="AH136" s="2"/>
      <c r="AJ136" s="2"/>
      <c r="AL136" s="2"/>
      <c r="AN136" s="2"/>
      <c r="AP136" s="2"/>
      <c r="AR136" s="2"/>
      <c r="AT136" s="2"/>
      <c r="AV136" s="2"/>
      <c r="AX136" s="2"/>
      <c r="AZ136" s="2"/>
      <c r="BB136" s="2"/>
      <c r="BD136" s="2"/>
      <c r="BF136" s="2"/>
      <c r="BH136" s="2"/>
      <c r="BJ136" s="2"/>
      <c r="BL136" s="2"/>
      <c r="BN136" s="2"/>
      <c r="BP136" s="2"/>
      <c r="BR136" s="2"/>
      <c r="BT136" s="2"/>
      <c r="BV136" s="2"/>
      <c r="BX136" s="2"/>
      <c r="BZ136" s="2"/>
      <c r="CB136" s="2"/>
      <c r="CD136" s="2"/>
      <c r="CF136" s="2"/>
      <c r="CH136" s="2"/>
      <c r="CJ136" s="2"/>
      <c r="CL136" s="2"/>
      <c r="CN136" s="2"/>
      <c r="CP136" s="2"/>
      <c r="CR136" s="2"/>
      <c r="CT136" s="2"/>
      <c r="CV136" s="2"/>
      <c r="CX136" s="2"/>
      <c r="CZ136" s="2"/>
      <c r="DA136" s="2"/>
    </row>
    <row r="137" spans="1:106" ht="13.2" x14ac:dyDescent="0.25">
      <c r="A137" s="1"/>
      <c r="B137" s="2"/>
      <c r="D137" s="2"/>
      <c r="E137" s="2"/>
      <c r="F137" s="2"/>
      <c r="G137" s="2"/>
      <c r="H137" s="2"/>
      <c r="J137" s="2"/>
      <c r="L137" s="2"/>
      <c r="N137" s="2"/>
      <c r="P137" s="2"/>
      <c r="R137" s="2"/>
      <c r="T137" s="2"/>
      <c r="V137" s="2"/>
      <c r="X137" s="2"/>
      <c r="Z137" s="2"/>
      <c r="AB137" s="2"/>
      <c r="AD137" s="2"/>
      <c r="AF137" s="2"/>
      <c r="AH137" s="2"/>
      <c r="AJ137" s="2"/>
      <c r="AL137" s="2"/>
      <c r="AN137" s="2"/>
      <c r="AP137" s="2"/>
      <c r="AR137" s="2"/>
      <c r="AT137" s="2"/>
      <c r="AV137" s="2"/>
      <c r="AX137" s="2"/>
      <c r="AZ137" s="2"/>
      <c r="BB137" s="2"/>
      <c r="BD137" s="2"/>
      <c r="BF137" s="2"/>
      <c r="BH137" s="2"/>
      <c r="BJ137" s="2"/>
      <c r="BL137" s="2"/>
      <c r="BN137" s="2"/>
      <c r="BP137" s="2"/>
      <c r="BR137" s="2"/>
      <c r="BT137" s="2"/>
      <c r="BV137" s="2"/>
      <c r="BX137" s="2"/>
      <c r="BZ137" s="2"/>
      <c r="CB137" s="2"/>
      <c r="CD137" s="2"/>
      <c r="CF137" s="2"/>
      <c r="CH137" s="2"/>
      <c r="CJ137" s="2"/>
      <c r="CL137" s="2"/>
      <c r="CN137" s="2"/>
      <c r="CP137" s="2"/>
      <c r="CR137" s="2"/>
      <c r="CT137" s="2"/>
      <c r="CV137" s="2"/>
      <c r="CX137" s="2"/>
      <c r="CZ137" s="2"/>
      <c r="DA137" s="2"/>
    </row>
    <row r="138" spans="1:106" ht="13.2" x14ac:dyDescent="0.25">
      <c r="A138" s="1"/>
      <c r="B138" s="2"/>
      <c r="D138" s="2"/>
      <c r="F138" s="2"/>
      <c r="H138" s="2"/>
      <c r="J138" s="2"/>
      <c r="L138" s="2"/>
      <c r="N138" s="2"/>
      <c r="P138" s="2"/>
      <c r="R138" s="2"/>
      <c r="T138" s="2"/>
      <c r="V138" s="2"/>
      <c r="X138" s="2"/>
      <c r="Z138" s="2"/>
      <c r="AB138" s="2"/>
      <c r="AD138" s="2"/>
      <c r="AF138" s="2"/>
      <c r="AH138" s="2"/>
      <c r="AJ138" s="2"/>
      <c r="AL138" s="2"/>
      <c r="AN138" s="2"/>
      <c r="AP138" s="2"/>
      <c r="AR138" s="2"/>
      <c r="AT138" s="2"/>
      <c r="AV138" s="2"/>
      <c r="AX138" s="2"/>
      <c r="AZ138" s="2"/>
      <c r="BB138" s="2"/>
      <c r="BD138" s="2"/>
      <c r="BF138" s="2"/>
      <c r="BH138" s="2"/>
      <c r="BJ138" s="2"/>
      <c r="BL138" s="2"/>
      <c r="BN138" s="2"/>
      <c r="BP138" s="2"/>
      <c r="BR138" s="2"/>
      <c r="BT138" s="2"/>
      <c r="BV138" s="2"/>
      <c r="BX138" s="2"/>
      <c r="BZ138" s="2"/>
      <c r="CB138" s="2"/>
      <c r="CD138" s="2"/>
      <c r="CF138" s="2"/>
      <c r="CH138" s="2"/>
      <c r="CJ138" s="2"/>
      <c r="CL138" s="2"/>
      <c r="CN138" s="2"/>
      <c r="CP138" s="2"/>
      <c r="CR138" s="2"/>
      <c r="CT138" s="2"/>
      <c r="CV138" s="2"/>
      <c r="CX138" s="2"/>
      <c r="CY138" s="2"/>
      <c r="CZ138" s="2"/>
      <c r="DA138" s="2"/>
      <c r="DB138" s="2"/>
    </row>
    <row r="139" spans="1:106" ht="13.2" x14ac:dyDescent="0.25">
      <c r="A139" s="1"/>
      <c r="B139" s="2"/>
      <c r="D139" s="2"/>
      <c r="F139" s="2"/>
      <c r="H139" s="2"/>
      <c r="J139" s="2"/>
      <c r="L139" s="2"/>
      <c r="N139" s="2"/>
      <c r="P139" s="2"/>
      <c r="R139" s="2"/>
      <c r="T139" s="2"/>
      <c r="V139" s="2"/>
      <c r="X139" s="2"/>
      <c r="Z139" s="2"/>
      <c r="AB139" s="2"/>
      <c r="AD139" s="2"/>
      <c r="AF139" s="2"/>
      <c r="AH139" s="2"/>
      <c r="AJ139" s="2"/>
      <c r="AL139" s="2"/>
      <c r="AN139" s="2"/>
      <c r="AP139" s="2"/>
      <c r="AR139" s="2"/>
      <c r="AT139" s="2"/>
      <c r="AV139" s="2"/>
      <c r="AX139" s="2"/>
      <c r="AZ139" s="2"/>
      <c r="BB139" s="2"/>
      <c r="BD139" s="2"/>
      <c r="BF139" s="2"/>
      <c r="BH139" s="2"/>
      <c r="BJ139" s="2"/>
      <c r="BL139" s="2"/>
      <c r="BN139" s="2"/>
      <c r="BP139" s="2"/>
      <c r="BR139" s="2"/>
      <c r="BT139" s="2"/>
      <c r="BV139" s="2"/>
      <c r="BW139" s="2"/>
      <c r="BX139" s="2"/>
      <c r="BZ139" s="2"/>
      <c r="CB139" s="2"/>
      <c r="CD139" s="2"/>
      <c r="CE139" s="2"/>
      <c r="CF139" s="2"/>
      <c r="CH139" s="2"/>
      <c r="CJ139" s="2"/>
      <c r="CL139" s="2"/>
      <c r="CN139" s="2"/>
      <c r="CP139" s="2"/>
      <c r="CR139" s="2"/>
      <c r="CT139" s="2"/>
      <c r="CV139" s="2"/>
      <c r="CX139" s="2"/>
      <c r="CZ139" s="2"/>
      <c r="DA139" s="2"/>
      <c r="DB139" s="2"/>
    </row>
    <row r="140" spans="1:106" ht="13.2" x14ac:dyDescent="0.25">
      <c r="A140" s="1"/>
      <c r="B140" s="2"/>
      <c r="D140" s="2"/>
      <c r="F140" s="2"/>
      <c r="H140" s="2"/>
      <c r="J140" s="2"/>
      <c r="L140" s="2"/>
      <c r="N140" s="2"/>
      <c r="P140" s="2"/>
      <c r="R140" s="2"/>
      <c r="T140" s="2"/>
      <c r="U140" s="2"/>
      <c r="V140" s="2"/>
      <c r="X140" s="2"/>
      <c r="Y140" s="2"/>
      <c r="Z140" s="2"/>
      <c r="AB140" s="2"/>
      <c r="AD140" s="2"/>
      <c r="AF140" s="2"/>
      <c r="AH140" s="2"/>
      <c r="AJ140" s="2"/>
      <c r="AL140" s="2"/>
      <c r="AN140" s="2"/>
      <c r="AP140" s="2"/>
      <c r="AR140" s="2"/>
      <c r="AS140" s="2"/>
      <c r="AT140" s="2"/>
      <c r="AV140" s="2"/>
      <c r="AX140" s="2"/>
      <c r="AZ140" s="2"/>
      <c r="BB140" s="2"/>
      <c r="BD140" s="2"/>
      <c r="BF140" s="2"/>
      <c r="BH140" s="2"/>
      <c r="BJ140" s="2"/>
      <c r="BL140" s="2"/>
      <c r="BN140" s="2"/>
      <c r="BP140" s="2"/>
      <c r="BQ140" s="2"/>
      <c r="BR140" s="2"/>
      <c r="BT140" s="2"/>
      <c r="BV140" s="2"/>
      <c r="BW140" s="2"/>
      <c r="BX140" s="2"/>
      <c r="BZ140" s="2"/>
      <c r="CA140" s="2"/>
      <c r="CB140" s="2"/>
      <c r="CD140" s="2"/>
      <c r="CF140" s="2"/>
      <c r="CH140" s="2"/>
      <c r="CJ140" s="2"/>
      <c r="CL140" s="2"/>
      <c r="CN140" s="2"/>
      <c r="CP140" s="2"/>
      <c r="CR140" s="2"/>
      <c r="CT140" s="2"/>
      <c r="CV140" s="2"/>
      <c r="CW140" s="2"/>
      <c r="CX140" s="2"/>
      <c r="CZ140" s="2"/>
      <c r="DA140" s="2"/>
      <c r="DB140" s="2"/>
    </row>
    <row r="141" spans="1:106" ht="13.2" x14ac:dyDescent="0.25">
      <c r="A141" s="1"/>
      <c r="B141" s="2"/>
      <c r="D141" s="2"/>
      <c r="F141" s="2"/>
      <c r="G141" s="2"/>
      <c r="H141" s="2"/>
      <c r="J141" s="2"/>
      <c r="L141" s="2"/>
      <c r="N141" s="2"/>
      <c r="P141" s="2"/>
      <c r="R141" s="2"/>
      <c r="T141" s="2"/>
      <c r="U141" s="2"/>
      <c r="V141" s="2"/>
      <c r="X141" s="2"/>
      <c r="Z141" s="2"/>
      <c r="AB141" s="2"/>
      <c r="AD141" s="2"/>
      <c r="AF141" s="2"/>
      <c r="AH141" s="2"/>
      <c r="AJ141" s="2"/>
      <c r="AL141" s="2"/>
      <c r="AN141" s="2"/>
      <c r="AP141" s="2"/>
      <c r="AR141" s="2"/>
      <c r="AT141" s="2"/>
      <c r="AV141" s="2"/>
      <c r="AX141" s="2"/>
      <c r="AZ141" s="2"/>
      <c r="BB141" s="2"/>
      <c r="BD141" s="2"/>
      <c r="BF141" s="2"/>
      <c r="BH141" s="2"/>
      <c r="BJ141" s="2"/>
      <c r="BL141" s="2"/>
      <c r="BN141" s="2"/>
      <c r="BP141" s="2"/>
      <c r="BR141" s="2"/>
      <c r="BS141" s="2"/>
      <c r="BT141" s="2"/>
      <c r="BV141" s="2"/>
      <c r="BX141" s="2"/>
      <c r="BZ141" s="2"/>
      <c r="CB141" s="2"/>
      <c r="CD141" s="2"/>
      <c r="CF141" s="2"/>
      <c r="CH141" s="2"/>
      <c r="CJ141" s="2"/>
      <c r="CL141" s="2"/>
      <c r="CN141" s="2"/>
      <c r="CP141" s="2"/>
      <c r="CR141" s="2"/>
      <c r="CT141" s="2"/>
      <c r="CV141" s="2"/>
      <c r="CX141" s="2"/>
      <c r="CZ141" s="2"/>
      <c r="DA141" s="2"/>
    </row>
    <row r="142" spans="1:106" ht="13.2" x14ac:dyDescent="0.25">
      <c r="A142" s="1"/>
      <c r="B142" s="2"/>
      <c r="C142" s="2"/>
      <c r="D142" s="2"/>
      <c r="F142" s="2"/>
      <c r="H142" s="2"/>
      <c r="J142" s="2"/>
      <c r="L142" s="2"/>
      <c r="N142" s="2"/>
      <c r="P142" s="2"/>
      <c r="R142" s="2"/>
      <c r="T142" s="2"/>
      <c r="V142" s="2"/>
      <c r="X142" s="2"/>
      <c r="Z142" s="2"/>
      <c r="AB142" s="2"/>
      <c r="AD142" s="2"/>
      <c r="AF142" s="2"/>
      <c r="AH142" s="2"/>
      <c r="AJ142" s="2"/>
      <c r="AL142" s="2"/>
      <c r="AN142" s="2"/>
      <c r="AP142" s="2"/>
      <c r="AR142" s="2"/>
      <c r="AT142" s="2"/>
      <c r="AV142" s="2"/>
      <c r="AX142" s="2"/>
      <c r="AZ142" s="2"/>
      <c r="BB142" s="2"/>
      <c r="BD142" s="2"/>
      <c r="BF142" s="2"/>
      <c r="BH142" s="2"/>
      <c r="BJ142" s="2"/>
      <c r="BL142" s="2"/>
      <c r="BN142" s="2"/>
      <c r="BP142" s="2"/>
      <c r="BR142" s="2"/>
      <c r="BT142" s="2"/>
      <c r="BV142" s="2"/>
      <c r="BW142" s="2"/>
      <c r="BX142" s="2"/>
      <c r="BZ142" s="2"/>
      <c r="CB142" s="2"/>
      <c r="CD142" s="2"/>
      <c r="CF142" s="2"/>
      <c r="CH142" s="2"/>
      <c r="CJ142" s="2"/>
      <c r="CK142" s="2"/>
      <c r="CL142" s="2"/>
      <c r="CN142" s="2"/>
      <c r="CP142" s="2"/>
      <c r="CR142" s="2"/>
      <c r="CT142" s="2"/>
      <c r="CV142" s="2"/>
      <c r="CW142" s="2"/>
      <c r="CX142" s="2"/>
      <c r="CZ142" s="2"/>
      <c r="DA142" s="2"/>
    </row>
    <row r="143" spans="1:106" ht="13.2" x14ac:dyDescent="0.25">
      <c r="A143" s="1"/>
      <c r="B143" s="2"/>
      <c r="D143" s="2"/>
      <c r="F143" s="2"/>
      <c r="H143" s="2"/>
      <c r="J143" s="2"/>
      <c r="L143" s="2"/>
      <c r="N143" s="2"/>
      <c r="P143" s="2"/>
      <c r="R143" s="2"/>
      <c r="T143" s="2"/>
      <c r="V143" s="2"/>
      <c r="X143" s="2"/>
      <c r="Z143" s="2"/>
      <c r="AB143" s="2"/>
      <c r="AD143" s="2"/>
      <c r="AF143" s="2"/>
      <c r="AH143" s="2"/>
      <c r="AJ143" s="2"/>
      <c r="AL143" s="2"/>
      <c r="AN143" s="2"/>
      <c r="AP143" s="2"/>
      <c r="AR143" s="2"/>
      <c r="AT143" s="2"/>
      <c r="AV143" s="2"/>
      <c r="AX143" s="2"/>
      <c r="AZ143" s="2"/>
      <c r="BB143" s="2"/>
      <c r="BD143" s="2"/>
      <c r="BF143" s="2"/>
      <c r="BH143" s="2"/>
      <c r="BJ143" s="2"/>
      <c r="BL143" s="2"/>
      <c r="BN143" s="2"/>
      <c r="BP143" s="2"/>
      <c r="BR143" s="2"/>
      <c r="BT143" s="2"/>
      <c r="BV143" s="2"/>
      <c r="BX143" s="2"/>
      <c r="BZ143" s="2"/>
      <c r="CB143" s="2"/>
      <c r="CD143" s="2"/>
      <c r="CF143" s="2"/>
      <c r="CH143" s="2"/>
      <c r="CJ143" s="2"/>
      <c r="CL143" s="2"/>
      <c r="CN143" s="2"/>
      <c r="CP143" s="2"/>
      <c r="CR143" s="2"/>
      <c r="CT143" s="2"/>
      <c r="CV143" s="2"/>
      <c r="CX143" s="2"/>
      <c r="CZ143" s="2"/>
      <c r="DA143" s="2"/>
    </row>
    <row r="144" spans="1:106" ht="13.2"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row>
    <row r="145" spans="1:106" ht="13.2" x14ac:dyDescent="0.25">
      <c r="A145" s="1"/>
      <c r="B145" s="2"/>
      <c r="D145" s="2"/>
      <c r="E145" s="2"/>
      <c r="F145" s="2"/>
      <c r="H145" s="2"/>
      <c r="I145" s="2"/>
      <c r="J145" s="2"/>
      <c r="K145" s="2"/>
      <c r="L145" s="2"/>
      <c r="N145" s="2"/>
      <c r="O145" s="2"/>
      <c r="P145" s="2"/>
      <c r="Q145" s="2"/>
      <c r="R145" s="2"/>
      <c r="T145" s="2"/>
      <c r="U145" s="2"/>
      <c r="V145" s="2"/>
      <c r="X145" s="2"/>
      <c r="Y145" s="2"/>
      <c r="Z145" s="2"/>
      <c r="AB145" s="2"/>
      <c r="AD145" s="2"/>
      <c r="AE145" s="2"/>
      <c r="AF145" s="2"/>
      <c r="AH145" s="2"/>
      <c r="AJ145" s="2"/>
      <c r="AK145" s="2"/>
      <c r="AL145" s="2"/>
      <c r="AM145" s="2"/>
      <c r="AN145" s="2"/>
      <c r="AO145" s="2"/>
      <c r="AP145" s="2"/>
      <c r="AQ145" s="2"/>
      <c r="AR145" s="2"/>
      <c r="AS145" s="2"/>
      <c r="AT145" s="2"/>
      <c r="AV145" s="2"/>
      <c r="AX145" s="2"/>
      <c r="AZ145" s="2"/>
      <c r="BB145" s="2"/>
      <c r="BD145" s="2"/>
      <c r="BF145" s="2"/>
      <c r="BH145" s="2"/>
      <c r="BJ145" s="2"/>
      <c r="BL145" s="2"/>
      <c r="BM145" s="2"/>
      <c r="BN145" s="2"/>
      <c r="BP145" s="2"/>
      <c r="BQ145" s="2"/>
      <c r="BR145" s="2"/>
      <c r="BT145" s="2"/>
      <c r="BV145" s="2"/>
      <c r="BW145" s="2"/>
      <c r="BX145" s="2"/>
      <c r="BY145" s="2"/>
      <c r="BZ145" s="2"/>
      <c r="CA145" s="2"/>
      <c r="CB145" s="2"/>
      <c r="CD145" s="2"/>
      <c r="CE145" s="2"/>
      <c r="CF145" s="2"/>
      <c r="CG145" s="2"/>
      <c r="CH145" s="2"/>
      <c r="CJ145" s="2"/>
      <c r="CK145" s="2"/>
      <c r="CL145" s="2"/>
      <c r="CM145" s="2"/>
      <c r="CN145" s="2"/>
      <c r="CO145" s="2"/>
      <c r="CP145" s="2"/>
      <c r="CR145" s="2"/>
      <c r="CS145" s="2"/>
      <c r="CT145" s="2"/>
      <c r="CU145" s="2"/>
      <c r="CV145" s="2"/>
      <c r="CW145" s="2"/>
      <c r="CX145" s="2"/>
      <c r="CZ145" s="2"/>
      <c r="DA145" s="2"/>
    </row>
    <row r="146" spans="1:106" ht="13.2" x14ac:dyDescent="0.25">
      <c r="A146" s="1"/>
      <c r="B146" s="2"/>
      <c r="C146" s="2"/>
      <c r="D146" s="2"/>
      <c r="E146" s="2"/>
      <c r="F146" s="2"/>
      <c r="G146" s="2"/>
      <c r="H146" s="2"/>
      <c r="I146" s="2"/>
      <c r="J146" s="2"/>
      <c r="K146" s="2"/>
      <c r="L146" s="2"/>
      <c r="N146" s="2"/>
      <c r="P146" s="2"/>
      <c r="R146" s="2"/>
      <c r="T146" s="2"/>
      <c r="V146" s="2"/>
      <c r="X146" s="2"/>
      <c r="Z146" s="2"/>
      <c r="AB146" s="2"/>
      <c r="AD146" s="2"/>
      <c r="AF146" s="2"/>
      <c r="AH146" s="2"/>
      <c r="AJ146" s="2"/>
      <c r="AL146" s="2"/>
      <c r="AN146" s="2"/>
      <c r="AP146" s="2"/>
      <c r="AR146" s="2"/>
      <c r="AT146" s="2"/>
      <c r="AV146" s="2"/>
      <c r="AX146" s="2"/>
      <c r="AZ146" s="2"/>
      <c r="BB146" s="2"/>
      <c r="BD146" s="2"/>
      <c r="BE146" s="2"/>
      <c r="BF146" s="2"/>
      <c r="BH146" s="2"/>
      <c r="BJ146" s="2"/>
      <c r="BL146" s="2"/>
      <c r="BN146" s="2"/>
      <c r="BP146" s="2"/>
      <c r="BR146" s="2"/>
      <c r="BT146" s="2"/>
      <c r="BU146" s="2"/>
      <c r="BV146" s="2"/>
      <c r="BX146" s="2"/>
      <c r="BZ146" s="2"/>
      <c r="CB146" s="2"/>
      <c r="CD146" s="2"/>
      <c r="CF146" s="2"/>
      <c r="CH146" s="2"/>
      <c r="CJ146" s="2"/>
      <c r="CL146" s="2"/>
      <c r="CN146" s="2"/>
      <c r="CP146" s="2"/>
      <c r="CR146" s="2"/>
      <c r="CT146" s="2"/>
      <c r="CV146" s="2"/>
      <c r="CX146" s="2"/>
      <c r="CZ146" s="2"/>
      <c r="DA146" s="2"/>
    </row>
    <row r="147" spans="1:106" ht="13.2" x14ac:dyDescent="0.25">
      <c r="A147" s="1"/>
      <c r="B147" s="2"/>
      <c r="C147" s="2"/>
      <c r="D147" s="2"/>
      <c r="F147" s="2"/>
      <c r="G147" s="2"/>
      <c r="H147" s="2"/>
      <c r="J147" s="2"/>
      <c r="K147" s="2"/>
      <c r="L147" s="2"/>
      <c r="M147" s="2"/>
      <c r="N147" s="2"/>
      <c r="P147" s="2"/>
      <c r="R147" s="2"/>
      <c r="S147" s="2"/>
      <c r="T147" s="2"/>
      <c r="V147" s="2"/>
      <c r="X147" s="2"/>
      <c r="Z147" s="2"/>
      <c r="AB147" s="2"/>
      <c r="AC147" s="2"/>
      <c r="AD147" s="2"/>
      <c r="AF147" s="2"/>
      <c r="AH147" s="2"/>
      <c r="AJ147" s="2"/>
      <c r="AL147" s="2"/>
      <c r="AN147" s="2"/>
      <c r="AP147" s="2"/>
      <c r="AR147" s="2"/>
      <c r="AT147" s="2"/>
      <c r="AV147" s="2"/>
      <c r="AX147" s="2"/>
      <c r="AZ147" s="2"/>
      <c r="BB147" s="2"/>
      <c r="BD147" s="2"/>
      <c r="BF147" s="2"/>
      <c r="BH147" s="2"/>
      <c r="BJ147" s="2"/>
      <c r="BL147" s="2"/>
      <c r="BN147" s="2"/>
      <c r="BP147" s="2"/>
      <c r="BR147" s="2"/>
      <c r="BT147" s="2"/>
      <c r="BV147" s="2"/>
      <c r="BW147" s="2"/>
      <c r="BX147" s="2"/>
      <c r="BY147" s="2"/>
      <c r="BZ147" s="2"/>
      <c r="CB147" s="2"/>
      <c r="CD147" s="2"/>
      <c r="CE147" s="2"/>
      <c r="CF147" s="2"/>
      <c r="CH147" s="2"/>
      <c r="CJ147" s="2"/>
      <c r="CL147" s="2"/>
      <c r="CN147" s="2"/>
      <c r="CO147" s="2"/>
      <c r="CP147" s="2"/>
      <c r="CR147" s="2"/>
      <c r="CT147" s="2"/>
      <c r="CV147" s="2"/>
      <c r="CX147" s="2"/>
      <c r="CZ147" s="2"/>
      <c r="DA147" s="2"/>
      <c r="DB147" s="2"/>
    </row>
  </sheetData>
  <autoFilter ref="A1:DH1" xr:uid="{00000000-0001-0000-0000-000000000000}"/>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EBCFA-A470-45AF-B061-BC3A4A044060}">
  <sheetPr>
    <tabColor theme="1"/>
  </sheetPr>
  <dimension ref="B2:L53"/>
  <sheetViews>
    <sheetView showGridLines="0" zoomScale="115" zoomScaleNormal="115" workbookViewId="0">
      <selection activeCell="E21" sqref="E21"/>
    </sheetView>
  </sheetViews>
  <sheetFormatPr defaultColWidth="8.6640625" defaultRowHeight="13.2" x14ac:dyDescent="0.25"/>
  <cols>
    <col min="1" max="1" width="4.44140625" customWidth="1"/>
    <col min="2" max="2" width="35.44140625" customWidth="1"/>
    <col min="3" max="3" width="116.6640625" bestFit="1" customWidth="1"/>
    <col min="4" max="10" width="15.6640625" style="5" hidden="1" customWidth="1"/>
    <col min="11" max="12" width="15.6640625" hidden="1" customWidth="1"/>
    <col min="13" max="13" width="0" hidden="1" customWidth="1"/>
  </cols>
  <sheetData>
    <row r="2" spans="2:12" ht="13.8" thickBot="1" x14ac:dyDescent="0.3">
      <c r="B2" s="26" t="s">
        <v>115</v>
      </c>
      <c r="C2" s="27" t="s">
        <v>114</v>
      </c>
      <c r="D2" s="28" t="s">
        <v>108</v>
      </c>
      <c r="E2" s="28" t="s">
        <v>106</v>
      </c>
      <c r="F2" s="28" t="s">
        <v>107</v>
      </c>
      <c r="G2" s="28" t="s">
        <v>109</v>
      </c>
      <c r="H2" s="28" t="s">
        <v>110</v>
      </c>
      <c r="I2" s="28" t="s">
        <v>111</v>
      </c>
      <c r="J2" s="28" t="s">
        <v>124</v>
      </c>
      <c r="K2" s="28" t="s">
        <v>112</v>
      </c>
      <c r="L2" s="28" t="s">
        <v>113</v>
      </c>
    </row>
    <row r="3" spans="2:12" x14ac:dyDescent="0.25">
      <c r="B3" s="9" t="s">
        <v>120</v>
      </c>
      <c r="C3" s="4" t="str">
        <f>'Base de Dados FORMS'!B1</f>
        <v>1) Este é um lugar (ambiente físico) agradável para trabalhar.</v>
      </c>
      <c r="D3" s="5">
        <f>COUNTIF('Base de Dados FORMS'!$B$2:$B$147,'BD Quanti '!D2)</f>
        <v>25</v>
      </c>
      <c r="E3" s="5">
        <f>COUNTIF('Base de Dados FORMS'!$B$2:$B$147,'BD Quanti '!E2)</f>
        <v>56</v>
      </c>
      <c r="F3" s="5">
        <f>COUNTIF('Base de Dados FORMS'!$B$2:$B$147,'BD Quanti '!F2)</f>
        <v>10</v>
      </c>
      <c r="G3" s="5">
        <f>COUNTIF('Base de Dados FORMS'!$B$2:$B$147,'BD Quanti '!G2)</f>
        <v>1</v>
      </c>
      <c r="H3" s="5">
        <f t="shared" ref="H3:H34" si="0">D3+E3</f>
        <v>81</v>
      </c>
      <c r="I3" s="5">
        <f t="shared" ref="I3:I34" si="1">F3+G3</f>
        <v>11</v>
      </c>
      <c r="J3" s="5">
        <f t="shared" ref="J3:J34" si="2">H3+I3</f>
        <v>92</v>
      </c>
      <c r="K3" s="29">
        <f t="shared" ref="K3:K37" si="3">H3/(H3+I3)</f>
        <v>0.88043478260869568</v>
      </c>
      <c r="L3" s="29">
        <f t="shared" ref="L3:L37" si="4">I3/(H3+I3)</f>
        <v>0.11956521739130435</v>
      </c>
    </row>
    <row r="4" spans="2:12" x14ac:dyDescent="0.25">
      <c r="B4" s="9" t="s">
        <v>120</v>
      </c>
      <c r="C4" s="4" t="str">
        <f>'Base de Dados FORMS'!D1</f>
        <v>2) Eu recebo os equipamentos e recursos necessários para realizar o meu trabalho.</v>
      </c>
      <c r="D4" s="5">
        <f>COUNTIF('Base de Dados FORMS'!$D$2:$D$147,'BD Quanti '!$D$2)</f>
        <v>26</v>
      </c>
      <c r="E4" s="5">
        <f>COUNTIF('Base de Dados FORMS'!$D$2:$D$147,'BD Quanti '!E2)</f>
        <v>51</v>
      </c>
      <c r="F4" s="5">
        <f>COUNTIF('Base de Dados FORMS'!$D$2:$D$147,'BD Quanti '!F2)</f>
        <v>14</v>
      </c>
      <c r="G4" s="5">
        <f>COUNTIF('Base de Dados FORMS'!$D$2:$D$147,'BD Quanti '!G2)</f>
        <v>1</v>
      </c>
      <c r="H4" s="5">
        <f t="shared" si="0"/>
        <v>77</v>
      </c>
      <c r="I4" s="5">
        <f t="shared" si="1"/>
        <v>15</v>
      </c>
      <c r="J4" s="5">
        <f t="shared" si="2"/>
        <v>92</v>
      </c>
      <c r="K4" s="29">
        <f t="shared" si="3"/>
        <v>0.83695652173913049</v>
      </c>
      <c r="L4" s="29">
        <f t="shared" si="4"/>
        <v>0.16304347826086957</v>
      </c>
    </row>
    <row r="5" spans="2:12" s="85" customFormat="1" x14ac:dyDescent="0.25">
      <c r="B5" s="81" t="s">
        <v>116</v>
      </c>
      <c r="C5" s="82" t="str">
        <f>'Base de Dados FORMS'!F1</f>
        <v>3) As pessoas aqui estão dispostas a fazer um pouco além da sua obrigação para concluir um trabalho.</v>
      </c>
      <c r="D5" s="83">
        <f>COUNTIF('Base de Dados FORMS'!$F$2:$F$147,'BD Quanti '!D2)</f>
        <v>18</v>
      </c>
      <c r="E5" s="83">
        <f>COUNTIF('Base de Dados FORMS'!$F$2:$F$147,'BD Quanti '!E2)</f>
        <v>57</v>
      </c>
      <c r="F5" s="83">
        <f>COUNTIF('Base de Dados FORMS'!$F$2:$F$147,'BD Quanti '!F2)</f>
        <v>14</v>
      </c>
      <c r="G5" s="83">
        <f>COUNTIF('Base de Dados FORMS'!$F$2:$F$147,'BD Quanti '!G2)</f>
        <v>3</v>
      </c>
      <c r="H5" s="83">
        <f t="shared" si="0"/>
        <v>75</v>
      </c>
      <c r="I5" s="83">
        <f t="shared" si="1"/>
        <v>17</v>
      </c>
      <c r="J5" s="83">
        <f t="shared" si="2"/>
        <v>92</v>
      </c>
      <c r="K5" s="84">
        <f t="shared" si="3"/>
        <v>0.81521739130434778</v>
      </c>
      <c r="L5" s="84">
        <f t="shared" si="4"/>
        <v>0.18478260869565216</v>
      </c>
    </row>
    <row r="6" spans="2:12" x14ac:dyDescent="0.25">
      <c r="B6" s="9" t="s">
        <v>117</v>
      </c>
      <c r="C6" s="4" t="str">
        <f>'Base de Dados FORMS'!H1</f>
        <v>4) Pode-se contar com a colaboração das pessoas por aqui.</v>
      </c>
      <c r="D6" s="5">
        <f>COUNTIF('Base de Dados FORMS'!$H$2:$H$147,'BD Quanti '!D2)</f>
        <v>27</v>
      </c>
      <c r="E6" s="5">
        <f>COUNTIF('Base de Dados FORMS'!$H$2:$H$147,'BD Quanti '!E2)</f>
        <v>53</v>
      </c>
      <c r="F6" s="5">
        <f>COUNTIF('Base de Dados FORMS'!$H$2:$H$147,'BD Quanti '!F2)</f>
        <v>12</v>
      </c>
      <c r="G6" s="5">
        <f>COUNTIF('Base de Dados FORMS'!$H$2:$H$147,'BD Quanti '!G2)</f>
        <v>0</v>
      </c>
      <c r="H6" s="5">
        <f t="shared" si="0"/>
        <v>80</v>
      </c>
      <c r="I6" s="5">
        <f t="shared" si="1"/>
        <v>12</v>
      </c>
      <c r="J6" s="5">
        <f t="shared" si="2"/>
        <v>92</v>
      </c>
      <c r="K6" s="29">
        <f t="shared" si="3"/>
        <v>0.86956521739130432</v>
      </c>
      <c r="L6" s="29">
        <f t="shared" si="4"/>
        <v>0.13043478260869565</v>
      </c>
    </row>
    <row r="7" spans="2:12" s="67" customFormat="1" x14ac:dyDescent="0.25">
      <c r="B7" s="63" t="s">
        <v>121</v>
      </c>
      <c r="C7" s="64" t="str">
        <f>'Base de Dados FORMS'!J1</f>
        <v>5) A empresa oferece treinamentos ou oportunidades de desenvolvimento para o meu crescimento profissional.</v>
      </c>
      <c r="D7" s="65">
        <f>COUNTIF('Base de Dados FORMS'!$J$2:$J$147,'BD Quanti '!D2)</f>
        <v>15</v>
      </c>
      <c r="E7" s="65">
        <f>COUNTIF('Base de Dados FORMS'!$J$2:$J$147,'BD Quanti '!E2)</f>
        <v>52</v>
      </c>
      <c r="F7" s="65">
        <f>COUNTIF('Base de Dados FORMS'!$J$2:$J$147,'BD Quanti '!F2)</f>
        <v>22</v>
      </c>
      <c r="G7" s="65">
        <f>COUNTIF('Base de Dados FORMS'!$J$2:$J$147,'BD Quanti '!G2)</f>
        <v>3</v>
      </c>
      <c r="H7" s="65">
        <f t="shared" si="0"/>
        <v>67</v>
      </c>
      <c r="I7" s="65">
        <f t="shared" si="1"/>
        <v>25</v>
      </c>
      <c r="J7" s="65">
        <f t="shared" si="2"/>
        <v>92</v>
      </c>
      <c r="K7" s="66">
        <f t="shared" si="3"/>
        <v>0.72826086956521741</v>
      </c>
      <c r="L7" s="66">
        <f t="shared" si="4"/>
        <v>0.27173913043478259</v>
      </c>
    </row>
    <row r="8" spans="2:12" x14ac:dyDescent="0.25">
      <c r="B8" s="9" t="s">
        <v>121</v>
      </c>
      <c r="C8" s="4" t="str">
        <f>'Base de Dados FORMS'!L1</f>
        <v>6) Você tem uma visão clara de para onde estamos indo (futuro da empresa) e como fazer para chegar lá.</v>
      </c>
      <c r="D8" s="5">
        <f>COUNTIF('Base de Dados FORMS'!$L$2:$L$147,'BD Quanti '!D2)</f>
        <v>24</v>
      </c>
      <c r="E8" s="5">
        <f>COUNTIF('Base de Dados FORMS'!$L$2:$L$147,'BD Quanti '!E2)</f>
        <v>55</v>
      </c>
      <c r="F8" s="5">
        <f>COUNTIF('Base de Dados FORMS'!$L$2:$L$147,'BD Quanti '!F2)</f>
        <v>12</v>
      </c>
      <c r="G8" s="5">
        <f>COUNTIF('Base de Dados FORMS'!$L$2:$L$147,'BD Quanti '!G2)</f>
        <v>1</v>
      </c>
      <c r="H8" s="5">
        <f t="shared" si="0"/>
        <v>79</v>
      </c>
      <c r="I8" s="5">
        <f t="shared" si="1"/>
        <v>13</v>
      </c>
      <c r="J8" s="5">
        <f t="shared" si="2"/>
        <v>92</v>
      </c>
      <c r="K8" s="29">
        <f t="shared" si="3"/>
        <v>0.85869565217391308</v>
      </c>
      <c r="L8" s="29">
        <f t="shared" si="4"/>
        <v>0.14130434782608695</v>
      </c>
    </row>
    <row r="9" spans="2:12" s="85" customFormat="1" x14ac:dyDescent="0.25">
      <c r="B9" s="81" t="s">
        <v>121</v>
      </c>
      <c r="C9" s="82" t="str">
        <f>'Base de Dados FORMS'!N1</f>
        <v>7) A empresa demonstra reconhecimento pelo bom trabalho e pelo esforço extra.</v>
      </c>
      <c r="D9" s="83">
        <f>COUNTIF('Base de Dados FORMS'!$N$2:$N$147,'BD Quanti '!D2)</f>
        <v>16</v>
      </c>
      <c r="E9" s="83">
        <f>COUNTIF('Base de Dados FORMS'!$N$2:$N$147,'BD Quanti '!E2)</f>
        <v>52</v>
      </c>
      <c r="F9" s="83">
        <f>COUNTIF('Base de Dados FORMS'!$N$2:$N$147,'BD Quanti '!F2)</f>
        <v>19</v>
      </c>
      <c r="G9" s="83">
        <f>COUNTIF('Base de Dados FORMS'!$N$2:$N$147,'BD Quanti '!G2)</f>
        <v>5</v>
      </c>
      <c r="H9" s="83">
        <f t="shared" si="0"/>
        <v>68</v>
      </c>
      <c r="I9" s="83">
        <f t="shared" si="1"/>
        <v>24</v>
      </c>
      <c r="J9" s="83">
        <f t="shared" si="2"/>
        <v>92</v>
      </c>
      <c r="K9" s="84">
        <f t="shared" si="3"/>
        <v>0.73913043478260865</v>
      </c>
      <c r="L9" s="84">
        <f t="shared" si="4"/>
        <v>0.2608695652173913</v>
      </c>
    </row>
    <row r="10" spans="2:12" s="85" customFormat="1" x14ac:dyDescent="0.25">
      <c r="B10" s="81" t="s">
        <v>121</v>
      </c>
      <c r="C10" s="82" t="str">
        <f>'Base de Dados FORMS'!P1</f>
        <v>8) As pessoas aqui nesta empresa são remuneradas adequadamente em relação a outras empresas do mesmo segmento de mercado.</v>
      </c>
      <c r="D10" s="83">
        <f>COUNTIF('Base de Dados FORMS'!$P$2:$P$147,'BD Quanti '!D2)</f>
        <v>10</v>
      </c>
      <c r="E10" s="83">
        <f>COUNTIF('Base de Dados FORMS'!$P$2:$P$147,'BD Quanti '!E2)</f>
        <v>35</v>
      </c>
      <c r="F10" s="83">
        <f>COUNTIF('Base de Dados FORMS'!$P$2:$P$147,'BD Quanti '!F2)</f>
        <v>37</v>
      </c>
      <c r="G10" s="83">
        <f>COUNTIF('Base de Dados FORMS'!$P$2:$P$147,'BD Quanti '!G2)</f>
        <v>10</v>
      </c>
      <c r="H10" s="83">
        <f t="shared" si="0"/>
        <v>45</v>
      </c>
      <c r="I10" s="83">
        <f t="shared" si="1"/>
        <v>47</v>
      </c>
      <c r="J10" s="83">
        <f t="shared" si="2"/>
        <v>92</v>
      </c>
      <c r="K10" s="84">
        <f t="shared" si="3"/>
        <v>0.4891304347826087</v>
      </c>
      <c r="L10" s="84">
        <f t="shared" si="4"/>
        <v>0.51086956521739135</v>
      </c>
    </row>
    <row r="11" spans="2:12" x14ac:dyDescent="0.25">
      <c r="B11" s="9" t="s">
        <v>116</v>
      </c>
      <c r="C11" s="82" t="str">
        <f>'Base de Dados FORMS'!R1</f>
        <v>9) Meu trabalho tem um sentido especial. Para mim, não é só “mais um emprego”.</v>
      </c>
      <c r="D11" s="5">
        <f>COUNTIF('Base de Dados FORMS'!$R$2:$R$147,'BD Quanti '!D2)</f>
        <v>42</v>
      </c>
      <c r="E11" s="5">
        <f>COUNTIF('Base de Dados FORMS'!$R$2:$R$147,'BD Quanti '!E2)</f>
        <v>48</v>
      </c>
      <c r="F11" s="5">
        <f>COUNTIF('Base de Dados FORMS'!$R$2:$R$147,'BD Quanti '!F2)</f>
        <v>1</v>
      </c>
      <c r="G11" s="5">
        <f>COUNTIF('Base de Dados FORMS'!$R$2:$R$147,'BD Quanti '!G2)</f>
        <v>1</v>
      </c>
      <c r="H11" s="5">
        <f t="shared" si="0"/>
        <v>90</v>
      </c>
      <c r="I11" s="5">
        <f t="shared" si="1"/>
        <v>2</v>
      </c>
      <c r="J11" s="5">
        <f t="shared" si="2"/>
        <v>92</v>
      </c>
      <c r="K11" s="29">
        <f t="shared" si="3"/>
        <v>0.97826086956521741</v>
      </c>
      <c r="L11" s="29">
        <f t="shared" si="4"/>
        <v>2.1739130434782608E-2</v>
      </c>
    </row>
    <row r="12" spans="2:12" s="85" customFormat="1" x14ac:dyDescent="0.25">
      <c r="B12" s="81" t="s">
        <v>121</v>
      </c>
      <c r="C12" s="82" t="str">
        <f>'Base de Dados FORMS'!T1</f>
        <v>10) Quando é contratado um funcionário novo, as pessoas fazem com que ele se sinta bem-vindo.</v>
      </c>
      <c r="D12" s="83">
        <f>COUNTIF('Base de Dados FORMS'!$T$2:$T$147,'BD Quanti '!D2)</f>
        <v>46</v>
      </c>
      <c r="E12" s="83">
        <f>COUNTIF('Base de Dados FORMS'!$T$2:$T$147,'BD Quanti '!E2)</f>
        <v>41</v>
      </c>
      <c r="F12" s="83">
        <f>COUNTIF('Base de Dados FORMS'!$T$2:$T$147,'BD Quanti '!F2)</f>
        <v>4</v>
      </c>
      <c r="G12" s="83">
        <f>COUNTIF('Base de Dados FORMS'!$T$2:$T$147,'BD Quanti '!G2)</f>
        <v>1</v>
      </c>
      <c r="H12" s="83">
        <f t="shared" si="0"/>
        <v>87</v>
      </c>
      <c r="I12" s="83">
        <f t="shared" si="1"/>
        <v>5</v>
      </c>
      <c r="J12" s="83">
        <f t="shared" si="2"/>
        <v>92</v>
      </c>
      <c r="K12" s="84">
        <f t="shared" si="3"/>
        <v>0.94565217391304346</v>
      </c>
      <c r="L12" s="84">
        <f t="shared" si="4"/>
        <v>5.434782608695652E-2</v>
      </c>
    </row>
    <row r="13" spans="2:12" s="85" customFormat="1" x14ac:dyDescent="0.25">
      <c r="B13" s="81" t="s">
        <v>116</v>
      </c>
      <c r="C13" s="82" t="str">
        <f>'Base de Dados FORMS'!V1</f>
        <v>11) Tenho orgulho de contar com as pessoas que trabalho aqui.</v>
      </c>
      <c r="D13" s="83">
        <f>COUNTIF('Base de Dados FORMS'!$V$2:$V$147,'BD Quanti '!D2)</f>
        <v>26</v>
      </c>
      <c r="E13" s="83">
        <f>COUNTIF('Base de Dados FORMS'!$V$2:$V$147,'BD Quanti '!E2)</f>
        <v>59</v>
      </c>
      <c r="F13" s="83">
        <f>COUNTIF('Base de Dados FORMS'!$V$2:$V$147,'BD Quanti '!F2)</f>
        <v>6</v>
      </c>
      <c r="G13" s="83">
        <f>COUNTIF('Base de Dados FORMS'!$V$2:$V$147,'BD Quanti '!G2)</f>
        <v>1</v>
      </c>
      <c r="H13" s="83">
        <f t="shared" si="0"/>
        <v>85</v>
      </c>
      <c r="I13" s="83">
        <f t="shared" si="1"/>
        <v>7</v>
      </c>
      <c r="J13" s="83">
        <f t="shared" si="2"/>
        <v>92</v>
      </c>
      <c r="K13" s="84">
        <f t="shared" si="3"/>
        <v>0.92391304347826086</v>
      </c>
      <c r="L13" s="84">
        <f t="shared" si="4"/>
        <v>7.6086956521739135E-2</v>
      </c>
    </row>
    <row r="14" spans="2:12" s="85" customFormat="1" x14ac:dyDescent="0.25">
      <c r="B14" s="81" t="s">
        <v>116</v>
      </c>
      <c r="C14" s="82" t="str">
        <f>'Base de Dados FORMS'!X1</f>
        <v>12) As pessoas aqui têm vontade de vir para o trabalho.</v>
      </c>
      <c r="D14" s="83">
        <f>COUNTIF('Base de Dados FORMS'!$X$2:$X$147,'BD Quanti '!D2)</f>
        <v>11</v>
      </c>
      <c r="E14" s="83">
        <f>COUNTIF('Base de Dados FORMS'!$X$2:$X$147,'BD Quanti '!E2)</f>
        <v>63</v>
      </c>
      <c r="F14" s="83">
        <f>COUNTIF('Base de Dados FORMS'!$X$2:$X$147,'BD Quanti '!F2)</f>
        <v>18</v>
      </c>
      <c r="G14" s="83">
        <f>COUNTIF('Base de Dados FORMS'!$X$2:$X$147,'BD Quanti '!G2)</f>
        <v>0</v>
      </c>
      <c r="H14" s="83">
        <f t="shared" si="0"/>
        <v>74</v>
      </c>
      <c r="I14" s="83">
        <f t="shared" si="1"/>
        <v>18</v>
      </c>
      <c r="J14" s="83">
        <f t="shared" si="2"/>
        <v>92</v>
      </c>
      <c r="K14" s="84">
        <f t="shared" si="3"/>
        <v>0.80434782608695654</v>
      </c>
      <c r="L14" s="84">
        <f t="shared" si="4"/>
        <v>0.19565217391304349</v>
      </c>
    </row>
    <row r="15" spans="2:12" s="85" customFormat="1" x14ac:dyDescent="0.25">
      <c r="B15" s="81" t="s">
        <v>121</v>
      </c>
      <c r="C15" s="82" t="str">
        <f>'Base de Dados FORMS'!Z1</f>
        <v>13) Eu me sinto à vontade na empresa, sem precisar fingir que sou outra pessoa.</v>
      </c>
      <c r="D15" s="83">
        <f>COUNTIF('Base de Dados FORMS'!$Z$2:$Z$147,'BD Quanti '!D2)</f>
        <v>40</v>
      </c>
      <c r="E15" s="83">
        <f>COUNTIF('Base de Dados FORMS'!$Z$2:$Z$147,'BD Quanti '!E2)</f>
        <v>44</v>
      </c>
      <c r="F15" s="83">
        <f>COUNTIF('Base de Dados FORMS'!$Z$2:$Z$147,'BD Quanti '!F2)</f>
        <v>7</v>
      </c>
      <c r="G15" s="83">
        <f>COUNTIF('Base de Dados FORMS'!$Z$2:$Z$147,'BD Quanti '!G2)</f>
        <v>1</v>
      </c>
      <c r="H15" s="83">
        <f t="shared" si="0"/>
        <v>84</v>
      </c>
      <c r="I15" s="83">
        <f t="shared" si="1"/>
        <v>8</v>
      </c>
      <c r="J15" s="83">
        <f t="shared" si="2"/>
        <v>92</v>
      </c>
      <c r="K15" s="84">
        <f t="shared" si="3"/>
        <v>0.91304347826086951</v>
      </c>
      <c r="L15" s="84">
        <f t="shared" si="4"/>
        <v>8.6956521739130432E-2</v>
      </c>
    </row>
    <row r="16" spans="2:12" s="85" customFormat="1" x14ac:dyDescent="0.25">
      <c r="B16" s="81" t="s">
        <v>118</v>
      </c>
      <c r="C16" s="82" t="str">
        <f>'Base de Dados FORMS'!AB1</f>
        <v>14) Existem canais de comunicação bem definidos para que os colaboradores possam expressar suas sugestões e reivindicações.</v>
      </c>
      <c r="D16" s="83">
        <f>COUNTIF('Base de Dados FORMS'!$AB$2:$AB$147,'BD Quanti '!D2)</f>
        <v>9</v>
      </c>
      <c r="E16" s="83">
        <f>COUNTIF('Base de Dados FORMS'!$AB$2:$AB$147,'BD Quanti '!E2)</f>
        <v>42</v>
      </c>
      <c r="F16" s="83">
        <f>COUNTIF('Base de Dados FORMS'!$AB$2:$AB$147,'BD Quanti '!F2)</f>
        <v>29</v>
      </c>
      <c r="G16" s="83">
        <f>COUNTIF('Base de Dados FORMS'!$AB$2:$AB$147,'BD Quanti '!G2)</f>
        <v>12</v>
      </c>
      <c r="H16" s="83">
        <f t="shared" si="0"/>
        <v>51</v>
      </c>
      <c r="I16" s="83">
        <f t="shared" si="1"/>
        <v>41</v>
      </c>
      <c r="J16" s="83">
        <f t="shared" si="2"/>
        <v>92</v>
      </c>
      <c r="K16" s="86">
        <f t="shared" si="3"/>
        <v>0.55434782608695654</v>
      </c>
      <c r="L16" s="86">
        <f t="shared" si="4"/>
        <v>0.44565217391304346</v>
      </c>
    </row>
    <row r="17" spans="2:12" s="85" customFormat="1" x14ac:dyDescent="0.25">
      <c r="B17" s="81" t="s">
        <v>121</v>
      </c>
      <c r="C17" s="82" t="str">
        <f>'Base de Dados FORMS'!AD1</f>
        <v>15) Você acredita que a empresa só promoveria uma demissão em massa como último recurso.</v>
      </c>
      <c r="D17" s="83">
        <f>COUNTIF('Base de Dados FORMS'!$AD$2:$AD$147,'BD Quanti '!D2)</f>
        <v>24</v>
      </c>
      <c r="E17" s="83">
        <f>COUNTIF('Base de Dados FORMS'!$AD$2:$AD$147,'BD Quanti '!E2)</f>
        <v>56</v>
      </c>
      <c r="F17" s="83">
        <f>COUNTIF('Base de Dados FORMS'!$AD$2:$AD$147,'BD Quanti '!F2)</f>
        <v>11</v>
      </c>
      <c r="G17" s="83">
        <f>COUNTIF('Base de Dados FORMS'!$AD$2:$AD$147,'BD Quanti '!G2)</f>
        <v>1</v>
      </c>
      <c r="H17" s="83">
        <f t="shared" si="0"/>
        <v>80</v>
      </c>
      <c r="I17" s="83">
        <f t="shared" si="1"/>
        <v>12</v>
      </c>
      <c r="J17" s="83">
        <f t="shared" si="2"/>
        <v>92</v>
      </c>
      <c r="K17" s="84">
        <f t="shared" si="3"/>
        <v>0.86956521739130432</v>
      </c>
      <c r="L17" s="84">
        <f t="shared" si="4"/>
        <v>0.13043478260869565</v>
      </c>
    </row>
    <row r="18" spans="2:12" s="85" customFormat="1" x14ac:dyDescent="0.25">
      <c r="B18" s="81" t="s">
        <v>121</v>
      </c>
      <c r="C18" s="82" t="str">
        <f>'Base de Dados FORMS'!AF1</f>
        <v>16) As pessoas são encorajadas a equilibrar sua vida profissional e pessoal.</v>
      </c>
      <c r="D18" s="83">
        <f>COUNTIF('Base de Dados FORMS'!$AF$2:$AF$147,'BD Quanti '!D2)</f>
        <v>19</v>
      </c>
      <c r="E18" s="83">
        <f>COUNTIF('Base de Dados FORMS'!$AF$2:$AF$147,'BD Quanti '!E2)</f>
        <v>56</v>
      </c>
      <c r="F18" s="83">
        <f>COUNTIF('Base de Dados FORMS'!$AF$2:$AF$147,'BD Quanti '!F2)</f>
        <v>14</v>
      </c>
      <c r="G18" s="83">
        <f>COUNTIF('Base de Dados FORMS'!$AF$2:$AF$147,'BD Quanti '!G2)</f>
        <v>3</v>
      </c>
      <c r="H18" s="83">
        <f t="shared" si="0"/>
        <v>75</v>
      </c>
      <c r="I18" s="83">
        <f t="shared" si="1"/>
        <v>17</v>
      </c>
      <c r="J18" s="83">
        <f t="shared" si="2"/>
        <v>92</v>
      </c>
      <c r="K18" s="84">
        <f t="shared" si="3"/>
        <v>0.81521739130434778</v>
      </c>
      <c r="L18" s="84">
        <f t="shared" si="4"/>
        <v>0.18478260869565216</v>
      </c>
    </row>
    <row r="19" spans="2:12" s="85" customFormat="1" x14ac:dyDescent="0.25">
      <c r="B19" s="81" t="s">
        <v>119</v>
      </c>
      <c r="C19" s="82" t="str">
        <f>'Base de Dados FORMS'!AH1</f>
        <v>17) Você sabe com clareza quem é seu líder (superior imediato).</v>
      </c>
      <c r="D19" s="83">
        <f>COUNTIF('Base de Dados FORMS'!$AH$2:$AH$147,'BD Quanti '!D2)</f>
        <v>41</v>
      </c>
      <c r="E19" s="83">
        <f>COUNTIF('Base de Dados FORMS'!$AH$2:$AH$147,'BD Quanti '!E2)</f>
        <v>47</v>
      </c>
      <c r="F19" s="83">
        <f>COUNTIF('Base de Dados FORMS'!$AH$2:$AH$147,'BD Quanti '!F2)</f>
        <v>3</v>
      </c>
      <c r="G19" s="83">
        <f>COUNTIF('Base de Dados FORMS'!$AH$2:$AH$147,'BD Quanti '!G2)</f>
        <v>1</v>
      </c>
      <c r="H19" s="83">
        <f t="shared" si="0"/>
        <v>88</v>
      </c>
      <c r="I19" s="83">
        <f t="shared" si="1"/>
        <v>4</v>
      </c>
      <c r="J19" s="83">
        <f t="shared" si="2"/>
        <v>92</v>
      </c>
      <c r="K19" s="84">
        <f t="shared" si="3"/>
        <v>0.95652173913043481</v>
      </c>
      <c r="L19" s="84">
        <f t="shared" si="4"/>
        <v>4.3478260869565216E-2</v>
      </c>
    </row>
    <row r="20" spans="2:12" s="85" customFormat="1" x14ac:dyDescent="0.25">
      <c r="B20" s="81" t="s">
        <v>119</v>
      </c>
      <c r="C20" s="82" t="str">
        <f>'Base de Dados FORMS'!AJ1</f>
        <v>18) O seu líder (superior imediato) deixa claro o que ele espera do seu trabalho.</v>
      </c>
      <c r="D20" s="83">
        <f>COUNTIF('Base de Dados FORMS'!$AJ$2:$AJ$147,'BD Quanti '!D2)</f>
        <v>33</v>
      </c>
      <c r="E20" s="83">
        <f>COUNTIF('Base de Dados FORMS'!$AJ$2:$AJ$147,'BD Quanti '!E2)</f>
        <v>48</v>
      </c>
      <c r="F20" s="83">
        <f>COUNTIF('Base de Dados FORMS'!$AJ$2:$AJ$147,'BD Quanti '!F2)</f>
        <v>11</v>
      </c>
      <c r="G20" s="83">
        <f>COUNTIF('Base de Dados FORMS'!$AH$2:$AJ$147,'BD Quanti '!G2)</f>
        <v>1</v>
      </c>
      <c r="H20" s="83">
        <f t="shared" si="0"/>
        <v>81</v>
      </c>
      <c r="I20" s="83">
        <f t="shared" si="1"/>
        <v>12</v>
      </c>
      <c r="J20" s="83">
        <f t="shared" si="2"/>
        <v>93</v>
      </c>
      <c r="K20" s="84">
        <f t="shared" si="3"/>
        <v>0.87096774193548387</v>
      </c>
      <c r="L20" s="84">
        <f t="shared" si="4"/>
        <v>0.12903225806451613</v>
      </c>
    </row>
    <row r="21" spans="2:12" s="85" customFormat="1" x14ac:dyDescent="0.25">
      <c r="B21" s="81" t="s">
        <v>119</v>
      </c>
      <c r="C21" s="82" t="str">
        <f>'Base de Dados FORMS'!AL1</f>
        <v>19) O seu líder demonstra comprometimento com o negócio da empresa (interesse no crescimento da empresa).</v>
      </c>
      <c r="D21" s="83">
        <f>COUNTIF('Base de Dados FORMS'!$AL$2:$AL$147,'BD Quanti '!D2)</f>
        <v>45</v>
      </c>
      <c r="E21" s="83">
        <f>COUNTIF('Base de Dados FORMS'!$AL$2:$AL$147,'BD Quanti '!E2)</f>
        <v>40</v>
      </c>
      <c r="F21" s="83">
        <f>COUNTIF('Base de Dados FORMS'!$AL$2:$AL$147,'BD Quanti '!F2)</f>
        <v>7</v>
      </c>
      <c r="G21" s="83">
        <f>COUNTIF('Base de Dados FORMS'!$AL$2:$AL$147,'BD Quanti '!G2)</f>
        <v>0</v>
      </c>
      <c r="H21" s="83">
        <f t="shared" si="0"/>
        <v>85</v>
      </c>
      <c r="I21" s="83">
        <f t="shared" si="1"/>
        <v>7</v>
      </c>
      <c r="J21" s="83">
        <f t="shared" si="2"/>
        <v>92</v>
      </c>
      <c r="K21" s="84">
        <f t="shared" si="3"/>
        <v>0.92391304347826086</v>
      </c>
      <c r="L21" s="84">
        <f t="shared" si="4"/>
        <v>7.6086956521739135E-2</v>
      </c>
    </row>
    <row r="22" spans="2:12" s="85" customFormat="1" x14ac:dyDescent="0.25">
      <c r="B22" s="81" t="s">
        <v>119</v>
      </c>
      <c r="C22" s="82" t="str">
        <f>'Base de Dados FORMS'!AN1</f>
        <v>20) O seu líder é honesto e ético na condução dos negócios.</v>
      </c>
      <c r="D22" s="83">
        <f>COUNTIF('Base de Dados FORMS'!$AN$2:$AN$147,'BD Quanti '!D2)</f>
        <v>42</v>
      </c>
      <c r="E22" s="83">
        <f>COUNTIF('Base de Dados FORMS'!$AN$2:$AN$147,'BD Quanti '!E2)</f>
        <v>46</v>
      </c>
      <c r="F22" s="83">
        <f>COUNTIF('Base de Dados FORMS'!$AN$2:$AN$147,'BD Quanti '!F2)</f>
        <v>4</v>
      </c>
      <c r="G22" s="83">
        <f>COUNTIF('Base de Dados FORMS'!$AN$2:$AN$147,'BD Quanti '!G2)</f>
        <v>0</v>
      </c>
      <c r="H22" s="83">
        <f t="shared" si="0"/>
        <v>88</v>
      </c>
      <c r="I22" s="83">
        <f t="shared" si="1"/>
        <v>4</v>
      </c>
      <c r="J22" s="83">
        <f t="shared" si="2"/>
        <v>92</v>
      </c>
      <c r="K22" s="84">
        <f t="shared" si="3"/>
        <v>0.95652173913043481</v>
      </c>
      <c r="L22" s="84">
        <f t="shared" si="4"/>
        <v>4.3478260869565216E-2</v>
      </c>
    </row>
    <row r="23" spans="2:12" s="85" customFormat="1" x14ac:dyDescent="0.25">
      <c r="B23" s="81" t="s">
        <v>119</v>
      </c>
      <c r="C23" s="82" t="str">
        <f>'Base de Dados FORMS'!AP1</f>
        <v>21) O seu líder demonstra interesse sincero por você como pessoa e não somente como empregado.</v>
      </c>
      <c r="D23" s="83">
        <f>COUNTIF('Base de Dados FORMS'!$AP$2:$AP$147,'BD Quanti '!D2)</f>
        <v>39</v>
      </c>
      <c r="E23" s="83">
        <f>COUNTIF('Base de Dados FORMS'!$AP$2:$AP$147,'BD Quanti '!E2)</f>
        <v>34</v>
      </c>
      <c r="F23" s="83">
        <f>COUNTIF('Base de Dados FORMS'!$AP$2:$AP$147,'BD Quanti '!F2)</f>
        <v>16</v>
      </c>
      <c r="G23" s="83">
        <f>COUNTIF('Base de Dados FORMS'!$AP$2:$AP$147,'BD Quanti '!G2)</f>
        <v>3</v>
      </c>
      <c r="H23" s="83">
        <f t="shared" si="0"/>
        <v>73</v>
      </c>
      <c r="I23" s="83">
        <f t="shared" si="1"/>
        <v>19</v>
      </c>
      <c r="J23" s="83">
        <f t="shared" si="2"/>
        <v>92</v>
      </c>
      <c r="K23" s="84">
        <f t="shared" si="3"/>
        <v>0.79347826086956519</v>
      </c>
      <c r="L23" s="84">
        <f t="shared" si="4"/>
        <v>0.20652173913043478</v>
      </c>
    </row>
    <row r="24" spans="2:12" s="85" customFormat="1" x14ac:dyDescent="0.25">
      <c r="B24" s="81" t="s">
        <v>119</v>
      </c>
      <c r="C24" s="82" t="str">
        <f>'Base de Dados FORMS'!AR1</f>
        <v>22) É fácil se aproximar do seu líder e é também fácil de falar com ele.</v>
      </c>
      <c r="D24" s="83">
        <f>COUNTIF('Base de Dados FORMS'!$AR$2:$AR$147,'BD Quanti '!D2)</f>
        <v>49</v>
      </c>
      <c r="E24" s="83">
        <f>COUNTIF('Base de Dados FORMS'!$AR$2:$AR$147,'BD Quanti '!E2)</f>
        <v>41</v>
      </c>
      <c r="F24" s="83">
        <f>COUNTIF('Base de Dados FORMS'!$AR$2:$AR$147,'BD Quanti '!F2)</f>
        <v>2</v>
      </c>
      <c r="G24" s="83">
        <f>COUNTIF('Base de Dados FORMS'!$AR$2:$AR$147,'BD Quanti '!G2)</f>
        <v>0</v>
      </c>
      <c r="H24" s="83">
        <f t="shared" si="0"/>
        <v>90</v>
      </c>
      <c r="I24" s="83">
        <f t="shared" si="1"/>
        <v>2</v>
      </c>
      <c r="J24" s="83">
        <f t="shared" si="2"/>
        <v>92</v>
      </c>
      <c r="K24" s="84">
        <f t="shared" si="3"/>
        <v>0.97826086956521741</v>
      </c>
      <c r="L24" s="84">
        <f t="shared" si="4"/>
        <v>2.1739130434782608E-2</v>
      </c>
    </row>
    <row r="25" spans="2:12" s="85" customFormat="1" x14ac:dyDescent="0.25">
      <c r="B25" s="81" t="s">
        <v>119</v>
      </c>
      <c r="C25" s="82" t="str">
        <f>'Base de Dados FORMS'!AT1</f>
        <v>23) O seu líder treina as pessoas com o foco nas suas necessidades.</v>
      </c>
      <c r="D25" s="83">
        <f>COUNTIF('Base de Dados FORMS'!$AT$2:$AT$147,'BD Quanti '!D2)</f>
        <v>26</v>
      </c>
      <c r="E25" s="83">
        <f>COUNTIF('Base de Dados FORMS'!$AT$2:$AT$147,'BD Quanti '!E2)</f>
        <v>48</v>
      </c>
      <c r="F25" s="83">
        <f>COUNTIF('Base de Dados FORMS'!$AT$2:$AT$147,'BD Quanti '!F2)</f>
        <v>15</v>
      </c>
      <c r="G25" s="83">
        <f>COUNTIF('Base de Dados FORMS'!$AT$2:$AT$147,'BD Quanti '!G2)</f>
        <v>3</v>
      </c>
      <c r="H25" s="83">
        <f t="shared" si="0"/>
        <v>74</v>
      </c>
      <c r="I25" s="83">
        <f t="shared" si="1"/>
        <v>18</v>
      </c>
      <c r="J25" s="83">
        <f t="shared" si="2"/>
        <v>92</v>
      </c>
      <c r="K25" s="84">
        <f t="shared" si="3"/>
        <v>0.80434782608695654</v>
      </c>
      <c r="L25" s="84">
        <f t="shared" si="4"/>
        <v>0.19565217391304349</v>
      </c>
    </row>
    <row r="26" spans="2:12" s="85" customFormat="1" x14ac:dyDescent="0.25">
      <c r="B26" s="81" t="s">
        <v>119</v>
      </c>
      <c r="C26" s="82" t="str">
        <f>'Base de Dados FORMS'!AV1</f>
        <v>24) O seu líder reconhece os erros como oportunidades de aprendizado.</v>
      </c>
      <c r="D26" s="83">
        <f>COUNTIF('Base de Dados FORMS'!$AV$2:$AV$147,'BD Quanti '!D2)</f>
        <v>21</v>
      </c>
      <c r="E26" s="83">
        <f>COUNTIF('Base de Dados FORMS'!$AV$2:$AV$147,'BD Quanti '!E2)</f>
        <v>63</v>
      </c>
      <c r="F26" s="83">
        <f>COUNTIF('Base de Dados FORMS'!$AV$2:$AV$147,'BD Quanti '!F2)</f>
        <v>8</v>
      </c>
      <c r="G26" s="83">
        <f>COUNTIF('Base de Dados FORMS'!$AV$2:$AV$147,'BD Quanti '!G2)</f>
        <v>0</v>
      </c>
      <c r="H26" s="83">
        <f t="shared" si="0"/>
        <v>84</v>
      </c>
      <c r="I26" s="83">
        <f t="shared" si="1"/>
        <v>8</v>
      </c>
      <c r="J26" s="83">
        <f t="shared" si="2"/>
        <v>92</v>
      </c>
      <c r="K26" s="84">
        <f t="shared" si="3"/>
        <v>0.91304347826086951</v>
      </c>
      <c r="L26" s="84">
        <f t="shared" si="4"/>
        <v>8.6956521739130432E-2</v>
      </c>
    </row>
    <row r="27" spans="2:12" s="85" customFormat="1" x14ac:dyDescent="0.25">
      <c r="B27" s="81" t="s">
        <v>119</v>
      </c>
      <c r="C27" s="82" t="str">
        <f>'Base de Dados FORMS'!AX1</f>
        <v>25) O seu líder demonstra interesse nas ideias e sugestões que você e seus companheiros apresentam e toma ações com base nelas.</v>
      </c>
      <c r="D27" s="83">
        <f>COUNTIF('Base de Dados FORMS'!$AX$2:$AX$147,'BD Quanti '!D2)</f>
        <v>31</v>
      </c>
      <c r="E27" s="83">
        <f>COUNTIF('Base de Dados FORMS'!$AX$2:$AX$147,'BD Quanti '!E2)</f>
        <v>52</v>
      </c>
      <c r="F27" s="83">
        <f>COUNTIF('Base de Dados FORMS'!$AX$2:$AX$147,'BD Quanti '!F2)</f>
        <v>6</v>
      </c>
      <c r="G27" s="83">
        <f>COUNTIF('Base de Dados FORMS'!$AX$2:$AX$147,'BD Quanti '!G2)</f>
        <v>3</v>
      </c>
      <c r="H27" s="83">
        <f t="shared" si="0"/>
        <v>83</v>
      </c>
      <c r="I27" s="83">
        <f t="shared" si="1"/>
        <v>9</v>
      </c>
      <c r="J27" s="83">
        <f t="shared" si="2"/>
        <v>92</v>
      </c>
      <c r="K27" s="84">
        <f t="shared" si="3"/>
        <v>0.90217391304347827</v>
      </c>
      <c r="L27" s="84">
        <f t="shared" si="4"/>
        <v>9.7826086956521743E-2</v>
      </c>
    </row>
    <row r="28" spans="2:12" s="85" customFormat="1" x14ac:dyDescent="0.25">
      <c r="B28" s="81" t="s">
        <v>118</v>
      </c>
      <c r="C28" s="82" t="str">
        <f>'Base de Dados FORMS'!AZ1</f>
        <v>26) O seu líder lhe mantém informado sobre assuntos importantes e sobre mudanças na empresa.</v>
      </c>
      <c r="D28" s="87">
        <f>COUNTIF('Base de Dados FORMS'!$AZ$2:$AZ$147,'BD Quanti '!D2)</f>
        <v>34</v>
      </c>
      <c r="E28" s="87">
        <f>COUNTIF('Base de Dados FORMS'!$AZ$2:$AZ$147,'BD Quanti '!E2)</f>
        <v>50</v>
      </c>
      <c r="F28" s="87">
        <f>COUNTIF('Base de Dados FORMS'!$AZ$2:$AZ$147,'BD Quanti '!F2)</f>
        <v>6</v>
      </c>
      <c r="G28" s="87">
        <f>COUNTIF('Base de Dados FORMS'!$AZ$2:$AZ$147,'BD Quanti '!G2)</f>
        <v>2</v>
      </c>
      <c r="H28" s="83">
        <f t="shared" si="0"/>
        <v>84</v>
      </c>
      <c r="I28" s="83">
        <f t="shared" si="1"/>
        <v>8</v>
      </c>
      <c r="J28" s="83">
        <f t="shared" si="2"/>
        <v>92</v>
      </c>
      <c r="K28" s="84">
        <f t="shared" si="3"/>
        <v>0.91304347826086951</v>
      </c>
      <c r="L28" s="84">
        <f t="shared" si="4"/>
        <v>8.6956521739130432E-2</v>
      </c>
    </row>
    <row r="29" spans="2:12" s="85" customFormat="1" x14ac:dyDescent="0.25">
      <c r="B29" s="81" t="s">
        <v>119</v>
      </c>
      <c r="C29" s="82" t="str">
        <f>'Base de Dados FORMS'!BB1</f>
        <v>27) O seu líder tem uma visão clara de para onde estamos indo (futuro da empresa) e o que fazer para chegar lá.</v>
      </c>
      <c r="D29" s="83">
        <f>COUNTIF('Base de Dados FORMS'!$BB$2:$BB$147,'BD Quanti '!D2)</f>
        <v>36</v>
      </c>
      <c r="E29" s="83">
        <f>COUNTIF('Base de Dados FORMS'!$BB$2:$BB$147,'BD Quanti '!E2)</f>
        <v>45</v>
      </c>
      <c r="F29" s="83">
        <f>COUNTIF('Base de Dados FORMS'!$BB$2:$BB$147,'BD Quanti '!F2)</f>
        <v>9</v>
      </c>
      <c r="G29" s="83">
        <f>COUNTIF('Base de Dados FORMS'!$BB$2:$BB$147,'BD Quanti '!G2)</f>
        <v>2</v>
      </c>
      <c r="H29" s="83">
        <f t="shared" si="0"/>
        <v>81</v>
      </c>
      <c r="I29" s="83">
        <f t="shared" si="1"/>
        <v>11</v>
      </c>
      <c r="J29" s="83">
        <f t="shared" si="2"/>
        <v>92</v>
      </c>
      <c r="K29" s="84">
        <f t="shared" si="3"/>
        <v>0.88043478260869568</v>
      </c>
      <c r="L29" s="84">
        <f t="shared" si="4"/>
        <v>0.11956521739130435</v>
      </c>
    </row>
    <row r="30" spans="2:12" s="85" customFormat="1" x14ac:dyDescent="0.25">
      <c r="B30" s="81" t="s">
        <v>119</v>
      </c>
      <c r="C30" s="82" t="str">
        <f>'Base de Dados FORMS'!BD1</f>
        <v>28) O seu líder confia no bom trabalho das pessoas sem precisar vigiá-las.</v>
      </c>
      <c r="D30" s="83">
        <f>COUNTIF('Base de Dados FORMS'!$BD$2:$BD$147,'BD Quanti '!D2)</f>
        <v>29</v>
      </c>
      <c r="E30" s="83">
        <f>COUNTIF('Base de Dados FORMS'!$BD$2:$BD$147,'BD Quanti '!E2)</f>
        <v>47</v>
      </c>
      <c r="F30" s="83">
        <f>COUNTIF('Base de Dados FORMS'!$BD$2:$BD$147,'BD Quanti '!F2)</f>
        <v>14</v>
      </c>
      <c r="G30" s="83">
        <f>COUNTIF('Base de Dados FORMS'!$BD$2:$BD$147,'BD Quanti '!G2)</f>
        <v>2</v>
      </c>
      <c r="H30" s="83">
        <f t="shared" si="0"/>
        <v>76</v>
      </c>
      <c r="I30" s="83">
        <f t="shared" si="1"/>
        <v>16</v>
      </c>
      <c r="J30" s="83">
        <f t="shared" si="2"/>
        <v>92</v>
      </c>
      <c r="K30" s="84">
        <f t="shared" si="3"/>
        <v>0.82608695652173914</v>
      </c>
      <c r="L30" s="84">
        <f t="shared" si="4"/>
        <v>0.17391304347826086</v>
      </c>
    </row>
    <row r="31" spans="2:12" s="85" customFormat="1" x14ac:dyDescent="0.25">
      <c r="B31" s="81" t="s">
        <v>119</v>
      </c>
      <c r="C31" s="82" t="str">
        <f>'Base de Dados FORMS'!BF1</f>
        <v>29) O seu líder envolve as pessoas em decisões que afetam atividades e seu ambiente de trabalho.</v>
      </c>
      <c r="D31" s="83">
        <f>COUNTIF('Base de Dados FORMS'!$BF$2:$BF$147,'BD Quanti '!D2)</f>
        <v>16</v>
      </c>
      <c r="E31" s="83">
        <f>COUNTIF('Base de Dados FORMS'!$BF$2:$BF$147,'BD Quanti '!E2)</f>
        <v>52</v>
      </c>
      <c r="F31" s="83">
        <f>COUNTIF('Base de Dados FORMS'!$BF$2:$BF$147,'BD Quanti '!F2)</f>
        <v>22</v>
      </c>
      <c r="G31" s="83">
        <f>COUNTIF('Base de Dados FORMS'!$BF$2:$BF$147,'BD Quanti '!G2)</f>
        <v>2</v>
      </c>
      <c r="H31" s="83">
        <f t="shared" si="0"/>
        <v>68</v>
      </c>
      <c r="I31" s="83">
        <f t="shared" si="1"/>
        <v>24</v>
      </c>
      <c r="J31" s="83">
        <f t="shared" si="2"/>
        <v>92</v>
      </c>
      <c r="K31" s="84">
        <f t="shared" si="3"/>
        <v>0.73913043478260865</v>
      </c>
      <c r="L31" s="84">
        <f t="shared" si="4"/>
        <v>0.2608695652173913</v>
      </c>
    </row>
    <row r="32" spans="2:12" s="85" customFormat="1" x14ac:dyDescent="0.25">
      <c r="B32" s="81" t="s">
        <v>119</v>
      </c>
      <c r="C32" s="82" t="str">
        <f>'Base de Dados FORMS'!BH1</f>
        <v>30) O seu líder trata todos da mesma forma, sem proteger ninguém.</v>
      </c>
      <c r="D32" s="83">
        <f>COUNTIF('Base de Dados FORMS'!$BH$2:$BH$147,'BD Quanti '!D2)</f>
        <v>21</v>
      </c>
      <c r="E32" s="83">
        <f>COUNTIF('Base de Dados FORMS'!$BH$2:$BH$147,'BD Quanti '!E2)</f>
        <v>46</v>
      </c>
      <c r="F32" s="83">
        <f>COUNTIF('Base de Dados FORMS'!$BH$2:$BH$147,'BD Quanti '!F2)</f>
        <v>24</v>
      </c>
      <c r="G32" s="83">
        <f>COUNTIF('Base de Dados FORMS'!$BH$2:$BH$147,'BD Quanti '!G2)</f>
        <v>1</v>
      </c>
      <c r="H32" s="83">
        <f t="shared" si="0"/>
        <v>67</v>
      </c>
      <c r="I32" s="83">
        <f t="shared" si="1"/>
        <v>25</v>
      </c>
      <c r="J32" s="83">
        <f t="shared" si="2"/>
        <v>92</v>
      </c>
      <c r="K32" s="84">
        <f t="shared" si="3"/>
        <v>0.72826086956521741</v>
      </c>
      <c r="L32" s="84">
        <f t="shared" si="4"/>
        <v>0.27173913043478259</v>
      </c>
    </row>
    <row r="33" spans="2:12" s="85" customFormat="1" x14ac:dyDescent="0.25">
      <c r="B33" s="81" t="s">
        <v>119</v>
      </c>
      <c r="C33" s="82" t="str">
        <f>'Base de Dados FORMS'!BJ1</f>
        <v>31) O seu líder sabe coordenar pessoas e distribuir tarefas adequadamente.</v>
      </c>
      <c r="D33" s="83">
        <f>COUNTIF('Base de Dados FORMS'!$BJ$2:$BJ$147,'BD Quanti '!D2)</f>
        <v>26</v>
      </c>
      <c r="E33" s="83">
        <f>COUNTIF('Base de Dados FORMS'!$BJ$2:$BJ$147,'BD Quanti '!E2)</f>
        <v>53</v>
      </c>
      <c r="F33" s="83">
        <f>COUNTIF('Base de Dados FORMS'!$BJ$2:$BJ$147,'BD Quanti '!F2)</f>
        <v>12</v>
      </c>
      <c r="G33" s="83">
        <f>COUNTIF('Base de Dados FORMS'!$BJ$2:$BJ$147,'BD Quanti '!G2)</f>
        <v>1</v>
      </c>
      <c r="H33" s="83">
        <f t="shared" si="0"/>
        <v>79</v>
      </c>
      <c r="I33" s="83">
        <f t="shared" si="1"/>
        <v>13</v>
      </c>
      <c r="J33" s="83">
        <f t="shared" si="2"/>
        <v>92</v>
      </c>
      <c r="K33" s="84">
        <f t="shared" si="3"/>
        <v>0.85869565217391308</v>
      </c>
      <c r="L33" s="84">
        <f t="shared" si="4"/>
        <v>0.14130434782608695</v>
      </c>
    </row>
    <row r="34" spans="2:12" s="85" customFormat="1" x14ac:dyDescent="0.25">
      <c r="B34" s="81" t="s">
        <v>119</v>
      </c>
      <c r="C34" s="82" t="str">
        <f>'Base de Dados FORMS'!BL1</f>
        <v>32) O seu líder dá autonomia às pessoas.</v>
      </c>
      <c r="D34" s="83">
        <f>COUNTIF('Base de Dados FORMS'!$BL$2:$BL$147,'BD Quanti '!D2)</f>
        <v>30</v>
      </c>
      <c r="E34" s="83">
        <f>COUNTIF('Base de Dados FORMS'!$BL$2:$BL$147,'BD Quanti '!E2)</f>
        <v>55</v>
      </c>
      <c r="F34" s="83">
        <f>COUNTIF('Base de Dados FORMS'!$BL$2:$BL$147,'BD Quanti '!F2)</f>
        <v>7</v>
      </c>
      <c r="G34" s="83">
        <f>COUNTIF('Base de Dados FORMS'!$BL$2:$BL$147,'BD Quanti '!G2)</f>
        <v>0</v>
      </c>
      <c r="H34" s="83">
        <f t="shared" si="0"/>
        <v>85</v>
      </c>
      <c r="I34" s="83">
        <f t="shared" si="1"/>
        <v>7</v>
      </c>
      <c r="J34" s="83">
        <f t="shared" si="2"/>
        <v>92</v>
      </c>
      <c r="K34" s="84">
        <f t="shared" si="3"/>
        <v>0.92391304347826086</v>
      </c>
      <c r="L34" s="84">
        <f t="shared" si="4"/>
        <v>7.6086956521739135E-2</v>
      </c>
    </row>
    <row r="35" spans="2:12" s="85" customFormat="1" x14ac:dyDescent="0.25">
      <c r="B35" s="81" t="s">
        <v>119</v>
      </c>
      <c r="C35" s="82" t="str">
        <f>'Base de Dados FORMS'!BN1</f>
        <v>33) O seu líder age de acordo com o que fala.</v>
      </c>
      <c r="D35" s="83">
        <f>COUNTIF('Base de Dados FORMS'!$BN$2:$BN$147,'BD Quanti '!D2)</f>
        <v>21</v>
      </c>
      <c r="E35" s="83">
        <f>COUNTIF('Base de Dados FORMS'!$BN$2:$BN$147,'BD Quanti '!E2)</f>
        <v>55</v>
      </c>
      <c r="F35" s="83">
        <f>COUNTIF('Base de Dados FORMS'!$BN$2:$BN$147,'BD Quanti '!F2)</f>
        <v>14</v>
      </c>
      <c r="G35" s="83">
        <f>COUNTIF('Base de Dados FORMS'!$BN$2:$BN$147,'BD Quanti '!G2)</f>
        <v>2</v>
      </c>
      <c r="H35" s="83">
        <f t="shared" ref="H35:H52" si="5">D35+E35</f>
        <v>76</v>
      </c>
      <c r="I35" s="83">
        <f t="shared" ref="I35:I52" si="6">F35+G35</f>
        <v>16</v>
      </c>
      <c r="J35" s="83">
        <f t="shared" ref="J35:J52" si="7">H35+I35</f>
        <v>92</v>
      </c>
      <c r="K35" s="84">
        <f t="shared" si="3"/>
        <v>0.82608695652173914</v>
      </c>
      <c r="L35" s="84">
        <f t="shared" si="4"/>
        <v>0.17391304347826086</v>
      </c>
    </row>
    <row r="36" spans="2:12" s="85" customFormat="1" x14ac:dyDescent="0.25">
      <c r="B36" s="81" t="s">
        <v>119</v>
      </c>
      <c r="C36" s="82" t="str">
        <f>'Base de Dados FORMS'!BP1</f>
        <v>34) O seu líder dá feedback (crítica construtiva) sobre o desempenho de seu trabalho.</v>
      </c>
      <c r="D36" s="83">
        <f>COUNTIF('Base de Dados FORMS'!$BP$2:$BP$147,'BD Quanti '!D2)</f>
        <v>39</v>
      </c>
      <c r="E36" s="83">
        <f>COUNTIF('Base de Dados FORMS'!$BP$2:$BP$147,'BD Quanti '!E2)</f>
        <v>48</v>
      </c>
      <c r="F36" s="83">
        <f>COUNTIF('Base de Dados FORMS'!$BP$2:$BP$147,'BD Quanti '!F2)</f>
        <v>3</v>
      </c>
      <c r="G36" s="83">
        <f>COUNTIF('Base de Dados FORMS'!$BP$2:$BP$147,'BD Quanti '!G2)</f>
        <v>2</v>
      </c>
      <c r="H36" s="83">
        <f t="shared" si="5"/>
        <v>87</v>
      </c>
      <c r="I36" s="83">
        <f t="shared" si="6"/>
        <v>5</v>
      </c>
      <c r="J36" s="83">
        <f t="shared" si="7"/>
        <v>92</v>
      </c>
      <c r="K36" s="84">
        <f t="shared" si="3"/>
        <v>0.94565217391304346</v>
      </c>
      <c r="L36" s="84">
        <f t="shared" si="4"/>
        <v>5.434782608695652E-2</v>
      </c>
    </row>
    <row r="37" spans="2:12" s="85" customFormat="1" x14ac:dyDescent="0.25">
      <c r="B37" s="81" t="s">
        <v>121</v>
      </c>
      <c r="C37" s="82" t="str">
        <f>'Base de Dados FORMS'!BR1</f>
        <v>35) As pessoas aqui na empresa são bem tratadas independentemente da sua idade, cor, religião ou sexo.</v>
      </c>
      <c r="D37" s="83">
        <f>COUNTIF('Base de Dados FORMS'!$BR$2:$BR$147,'BD Quanti '!D2)</f>
        <v>46</v>
      </c>
      <c r="E37" s="83">
        <f>COUNTIF('Base de Dados FORMS'!$BR$2:$BR$147,'BD Quanti '!E2)</f>
        <v>45</v>
      </c>
      <c r="F37" s="83">
        <f>COUNTIF('Base de Dados FORMS'!$BR$2:$BR$147,'BD Quanti '!F2)</f>
        <v>1</v>
      </c>
      <c r="G37" s="83">
        <f>COUNTIF('Base de Dados FORMS'!$BR$2:$BR$147,'BD Quanti '!G2)</f>
        <v>0</v>
      </c>
      <c r="H37" s="83">
        <f t="shared" si="5"/>
        <v>91</v>
      </c>
      <c r="I37" s="83">
        <f t="shared" si="6"/>
        <v>1</v>
      </c>
      <c r="J37" s="83">
        <f t="shared" si="7"/>
        <v>92</v>
      </c>
      <c r="K37" s="84">
        <f t="shared" si="3"/>
        <v>0.98913043478260865</v>
      </c>
      <c r="L37" s="84">
        <f t="shared" si="4"/>
        <v>1.0869565217391304E-2</v>
      </c>
    </row>
    <row r="38" spans="2:12" x14ac:dyDescent="0.25">
      <c r="B38" s="9" t="s">
        <v>121</v>
      </c>
      <c r="C38" s="8" t="str">
        <f>'Base de Dados FORMS'!BT1</f>
        <v>36) Você alguma vez já foi humilhado pelo seu líder ou presenciou alguma humilhação.</v>
      </c>
      <c r="D38" s="6">
        <f>COUNTIF('Base de Dados FORMS'!$BT$2:$BT$147,'BD Quanti '!D2)</f>
        <v>3</v>
      </c>
      <c r="E38" s="6">
        <f>COUNTIF('Base de Dados FORMS'!$BT$2:$BT$147,'BD Quanti '!E2)</f>
        <v>13</v>
      </c>
      <c r="F38" s="6">
        <f>COUNTIF('Base de Dados FORMS'!$BT$2:$BT$147,'BD Quanti '!F2)</f>
        <v>27</v>
      </c>
      <c r="G38" s="6">
        <f>COUNTIF('Base de Dados FORMS'!$BT$2:$BT$147,'BD Quanti '!G2)</f>
        <v>49</v>
      </c>
      <c r="H38" s="6">
        <f t="shared" si="5"/>
        <v>16</v>
      </c>
      <c r="I38" s="6">
        <f t="shared" si="6"/>
        <v>76</v>
      </c>
      <c r="J38" s="5">
        <f t="shared" si="7"/>
        <v>92</v>
      </c>
      <c r="K38" s="30">
        <f>I38/(H38+I38)</f>
        <v>0.82608695652173914</v>
      </c>
      <c r="L38" s="30">
        <f>H38/(H38+I38)</f>
        <v>0.17391304347826086</v>
      </c>
    </row>
    <row r="39" spans="2:12" s="85" customFormat="1" x14ac:dyDescent="0.25">
      <c r="B39" s="81" t="s">
        <v>117</v>
      </c>
      <c r="C39" s="82" t="str">
        <f>'Base de Dados FORMS'!BV1</f>
        <v>37) Aqui as pessoas se importam umas com as outras.</v>
      </c>
      <c r="D39" s="83">
        <f>COUNTIF('Base de Dados FORMS'!$BV$2:$BV$147,'BD Quanti '!D2)</f>
        <v>10</v>
      </c>
      <c r="E39" s="83">
        <f>COUNTIF('Base de Dados FORMS'!$BV$2:$BV$147,'BD Quanti '!E2)</f>
        <v>59</v>
      </c>
      <c r="F39" s="83">
        <f>COUNTIF('Base de Dados FORMS'!$BV$2:$BV$147,'BD Quanti '!F2)</f>
        <v>20</v>
      </c>
      <c r="G39" s="83">
        <f>COUNTIF('Base de Dados FORMS'!$BV$2:$BV$147,'BD Quanti '!G2)</f>
        <v>3</v>
      </c>
      <c r="H39" s="83">
        <f t="shared" si="5"/>
        <v>69</v>
      </c>
      <c r="I39" s="83">
        <f t="shared" si="6"/>
        <v>23</v>
      </c>
      <c r="J39" s="83">
        <f t="shared" si="7"/>
        <v>92</v>
      </c>
      <c r="K39" s="84">
        <f>H39/(H39+I39)</f>
        <v>0.75</v>
      </c>
      <c r="L39" s="84">
        <f>I39/(H39+I39)</f>
        <v>0.25</v>
      </c>
    </row>
    <row r="40" spans="2:12" s="85" customFormat="1" x14ac:dyDescent="0.25">
      <c r="B40" s="81" t="s">
        <v>117</v>
      </c>
      <c r="C40" s="82" t="str">
        <f>'Base de Dados FORMS'!BX1</f>
        <v>38) Existe um sentimento de equipe por aqui.</v>
      </c>
      <c r="D40" s="83">
        <f>COUNTIF('Base de Dados FORMS'!$BX$2:$BX$147,'BD Quanti '!D2)</f>
        <v>19</v>
      </c>
      <c r="E40" s="83">
        <f>COUNTIF('Base de Dados FORMS'!$BX$2:$BX$147,'BD Quanti '!E2)</f>
        <v>60</v>
      </c>
      <c r="F40" s="83">
        <f>COUNTIF('Base de Dados FORMS'!$BX$2:$BX$147,'BD Quanti '!F2)</f>
        <v>10</v>
      </c>
      <c r="G40" s="83">
        <f>COUNTIF('Base de Dados FORMS'!$BX$2:$BX$147,'BD Quanti '!G2)</f>
        <v>3</v>
      </c>
      <c r="H40" s="83">
        <f t="shared" si="5"/>
        <v>79</v>
      </c>
      <c r="I40" s="83">
        <f t="shared" si="6"/>
        <v>13</v>
      </c>
      <c r="J40" s="83">
        <f t="shared" si="7"/>
        <v>92</v>
      </c>
      <c r="K40" s="84">
        <f>H40/(H40+I40)</f>
        <v>0.85869565217391308</v>
      </c>
      <c r="L40" s="84">
        <f>I40/(H40+I40)</f>
        <v>0.14130434782608695</v>
      </c>
    </row>
    <row r="41" spans="2:12" s="85" customFormat="1" x14ac:dyDescent="0.25">
      <c r="B41" s="81" t="s">
        <v>121</v>
      </c>
      <c r="C41" s="82" t="str">
        <f>'Base de Dados FORMS'!BZ1</f>
        <v>39) Nós sempre comemoramos as metas atingidas e os eventos especiais.</v>
      </c>
      <c r="D41" s="83">
        <f>COUNTIF('Base de Dados FORMS'!$BZ$2:$BZ$147,'BD Quanti '!D2)</f>
        <v>32</v>
      </c>
      <c r="E41" s="83">
        <f>COUNTIF('Base de Dados FORMS'!$BZ$2:$BZ$147,'BD Quanti '!E2)</f>
        <v>30</v>
      </c>
      <c r="F41" s="83">
        <f>COUNTIF('Base de Dados FORMS'!$BZ$2:$BZ$147,'BD Quanti '!F2)</f>
        <v>22</v>
      </c>
      <c r="G41" s="83">
        <f>COUNTIF('Base de Dados FORMS'!$BZ$2:$BZ$147,'BD Quanti '!G2)</f>
        <v>8</v>
      </c>
      <c r="H41" s="83">
        <f t="shared" si="5"/>
        <v>62</v>
      </c>
      <c r="I41" s="83">
        <f t="shared" si="6"/>
        <v>30</v>
      </c>
      <c r="J41" s="83">
        <f t="shared" si="7"/>
        <v>92</v>
      </c>
      <c r="K41" s="84">
        <f>H41/(H41+I41)</f>
        <v>0.67391304347826086</v>
      </c>
      <c r="L41" s="84">
        <f>I41/(H41+I41)</f>
        <v>0.32608695652173914</v>
      </c>
    </row>
    <row r="42" spans="2:12" x14ac:dyDescent="0.25">
      <c r="B42" s="9" t="s">
        <v>117</v>
      </c>
      <c r="C42" s="8" t="str">
        <f>'Base de Dados FORMS'!CB1</f>
        <v>40) As pessoas fazem “politicagem” (puxa saco) como forma de obter resultados.</v>
      </c>
      <c r="D42" s="6">
        <f>COUNTIF('Base de Dados FORMS'!$CB$2:$CB$147,'BD Quanti '!D2)</f>
        <v>8</v>
      </c>
      <c r="E42" s="6">
        <f>COUNTIF('Base de Dados FORMS'!$CB$2:$CB$147,'BD Quanti '!E2)</f>
        <v>28</v>
      </c>
      <c r="F42" s="6">
        <f>COUNTIF('Base de Dados FORMS'!$CB$2:$CB$147,'BD Quanti '!F2)</f>
        <v>49</v>
      </c>
      <c r="G42" s="6">
        <f>COUNTIF('Base de Dados FORMS'!$CB$2:$CB$147,'BD Quanti '!G2)</f>
        <v>7</v>
      </c>
      <c r="H42" s="6">
        <f t="shared" si="5"/>
        <v>36</v>
      </c>
      <c r="I42" s="6">
        <f t="shared" si="6"/>
        <v>56</v>
      </c>
      <c r="J42" s="5">
        <f t="shared" si="7"/>
        <v>92</v>
      </c>
      <c r="K42" s="30">
        <f>I42/(H42+I42)</f>
        <v>0.60869565217391308</v>
      </c>
      <c r="L42" s="30">
        <f>H42/(H42+I42)</f>
        <v>0.39130434782608697</v>
      </c>
    </row>
    <row r="43" spans="2:12" s="85" customFormat="1" x14ac:dyDescent="0.25">
      <c r="B43" s="81" t="s">
        <v>118</v>
      </c>
      <c r="C43" s="82" t="str">
        <f>'Base de Dados FORMS'!CD1</f>
        <v>41) A Diretoria da empresa é aberta a sugestões e é fácil falar com ela.</v>
      </c>
      <c r="D43" s="83">
        <f>COUNTIF('Base de Dados FORMS'!$CD$2:$CD$147,'BD Quanti '!D2)</f>
        <v>34</v>
      </c>
      <c r="E43" s="83">
        <f>COUNTIF('Base de Dados FORMS'!$CD$2:$CD$147,'BD Quanti '!E2)</f>
        <v>46</v>
      </c>
      <c r="F43" s="83">
        <f>COUNTIF('Base de Dados FORMS'!$CD$2:$CD$147,'BD Quanti '!F2)</f>
        <v>9</v>
      </c>
      <c r="G43" s="83">
        <f>COUNTIF('Base de Dados FORMS'!$CD$2:$CD$147,'BD Quanti '!G2)</f>
        <v>3</v>
      </c>
      <c r="H43" s="83">
        <f t="shared" si="5"/>
        <v>80</v>
      </c>
      <c r="I43" s="83">
        <f t="shared" si="6"/>
        <v>12</v>
      </c>
      <c r="J43" s="83">
        <f t="shared" si="7"/>
        <v>92</v>
      </c>
      <c r="K43" s="84">
        <f>H43/(H43+I43)</f>
        <v>0.86956521739130432</v>
      </c>
      <c r="L43" s="84">
        <f>I43/(H43+I43)</f>
        <v>0.13043478260869565</v>
      </c>
    </row>
    <row r="44" spans="2:12" s="85" customFormat="1" x14ac:dyDescent="0.25">
      <c r="B44" s="81" t="s">
        <v>121</v>
      </c>
      <c r="C44" s="82" t="str">
        <f>'Base de Dados FORMS'!CF1</f>
        <v>42) Você tem um bom relacionamento com a Diretoria da empresa.</v>
      </c>
      <c r="D44" s="83">
        <f>COUNTIF('Base de Dados FORMS'!$CF$2:$CF$147,'BD Quanti '!D2)</f>
        <v>38</v>
      </c>
      <c r="E44" s="83">
        <f>COUNTIF('Base de Dados FORMS'!$CF$2:$CF$147,'BD Quanti '!E2)</f>
        <v>47</v>
      </c>
      <c r="F44" s="83">
        <f>COUNTIF('Base de Dados FORMS'!$CF$2:$CF$147,'BD Quanti '!F2)</f>
        <v>7</v>
      </c>
      <c r="G44" s="83">
        <f>COUNTIF('Base de Dados FORMS'!$CF$2:$CF$147,'BD Quanti '!G2)</f>
        <v>0</v>
      </c>
      <c r="H44" s="83">
        <f t="shared" si="5"/>
        <v>85</v>
      </c>
      <c r="I44" s="83">
        <f t="shared" si="6"/>
        <v>7</v>
      </c>
      <c r="J44" s="83">
        <f t="shared" si="7"/>
        <v>92</v>
      </c>
      <c r="K44" s="84">
        <f>H44/(H44+I44)</f>
        <v>0.92391304347826086</v>
      </c>
      <c r="L44" s="84">
        <f>I44/(H44+I44)</f>
        <v>7.6086956521739135E-2</v>
      </c>
    </row>
    <row r="45" spans="2:12" s="67" customFormat="1" x14ac:dyDescent="0.25">
      <c r="B45" s="63" t="s">
        <v>121</v>
      </c>
      <c r="C45" s="64" t="str">
        <f>'Base de Dados FORMS'!CH1</f>
        <v>43) Eu sou bem tratado, independente de minha função na empresa.</v>
      </c>
      <c r="D45" s="65">
        <f>COUNTIF('Base de Dados FORMS'!$CH$2:$CH$147,'BD Quanti '!D2)</f>
        <v>46</v>
      </c>
      <c r="E45" s="65">
        <f>COUNTIF('Base de Dados FORMS'!$CH$2:$CH$147,'BD Quanti '!E2)</f>
        <v>45</v>
      </c>
      <c r="F45" s="65">
        <f>COUNTIF('Base de Dados FORMS'!$CH$2:$CH$147,'BD Quanti '!F2)</f>
        <v>0</v>
      </c>
      <c r="G45" s="65">
        <f>COUNTIF('Base de Dados FORMS'!$CH$2:$CH$147,'BD Quanti '!G2)</f>
        <v>1</v>
      </c>
      <c r="H45" s="65">
        <f t="shared" si="5"/>
        <v>91</v>
      </c>
      <c r="I45" s="65">
        <f t="shared" si="6"/>
        <v>1</v>
      </c>
      <c r="J45" s="65">
        <f t="shared" si="7"/>
        <v>92</v>
      </c>
      <c r="K45" s="66">
        <f>H45/(H45+I45)</f>
        <v>0.98913043478260865</v>
      </c>
      <c r="L45" s="66">
        <f>I45/(H45+I45)</f>
        <v>1.0869565217391304E-2</v>
      </c>
    </row>
    <row r="46" spans="2:12" s="85" customFormat="1" x14ac:dyDescent="0.25">
      <c r="B46" s="81" t="s">
        <v>121</v>
      </c>
      <c r="C46" s="82" t="str">
        <f>'Base de Dados FORMS'!CJ1</f>
        <v>44) Sinto que sou valorizado aqui e que posso fazer a diferença.</v>
      </c>
      <c r="D46" s="83">
        <f>COUNTIF('Base de Dados FORMS'!$CJ$2:$CJ$147,'BD Quanti '!D2)</f>
        <v>29</v>
      </c>
      <c r="E46" s="83">
        <f>COUNTIF('Base de Dados FORMS'!$CJ$2:$CJ$147,'BD Quanti '!E2)</f>
        <v>48</v>
      </c>
      <c r="F46" s="83">
        <f>COUNTIF('Base de Dados FORMS'!$CJ$2:$CJ$147,'BD Quanti '!F2)</f>
        <v>12</v>
      </c>
      <c r="G46" s="83">
        <f>COUNTIF('Base de Dados FORMS'!$CJ$2:$CJ$147,'BD Quanti '!G2)</f>
        <v>3</v>
      </c>
      <c r="H46" s="83">
        <f t="shared" si="5"/>
        <v>77</v>
      </c>
      <c r="I46" s="83">
        <f t="shared" si="6"/>
        <v>15</v>
      </c>
      <c r="J46" s="83">
        <f t="shared" si="7"/>
        <v>92</v>
      </c>
      <c r="K46" s="84">
        <f>H46/(H46+I46)</f>
        <v>0.83695652173913049</v>
      </c>
      <c r="L46" s="84">
        <f>I46/(H46+I46)</f>
        <v>0.16304347826086957</v>
      </c>
    </row>
    <row r="47" spans="2:12" s="85" customFormat="1" x14ac:dyDescent="0.25">
      <c r="B47" s="81" t="s">
        <v>120</v>
      </c>
      <c r="C47" s="82" t="str">
        <f>'Base de Dados FORMS'!CL1</f>
        <v>45) Este é um lugar agradável para se trabalhar.</v>
      </c>
      <c r="D47" s="83">
        <f>COUNTIF('Base de Dados FORMS'!$CL$2:$CL$147,'BD Quanti '!D2)</f>
        <v>35</v>
      </c>
      <c r="E47" s="83">
        <f>COUNTIF('Base de Dados FORMS'!$CL$2:$CL$147,'BD Quanti '!E2)</f>
        <v>52</v>
      </c>
      <c r="F47" s="83">
        <f>COUNTIF('Base de Dados FORMS'!$CL$2:$CL$147,'BD Quanti '!F2)</f>
        <v>4</v>
      </c>
      <c r="G47" s="83">
        <f>COUNTIF('Base de Dados FORMS'!$CL$2:$CL$147,'BD Quanti '!G2)</f>
        <v>1</v>
      </c>
      <c r="H47" s="83">
        <f t="shared" si="5"/>
        <v>87</v>
      </c>
      <c r="I47" s="83">
        <f t="shared" si="6"/>
        <v>5</v>
      </c>
      <c r="J47" s="83">
        <f t="shared" si="7"/>
        <v>92</v>
      </c>
      <c r="K47" s="84">
        <f>H47/(H47+I47)</f>
        <v>0.94565217391304346</v>
      </c>
      <c r="L47" s="84">
        <f>I47/(H47+I47)</f>
        <v>5.434782608695652E-2</v>
      </c>
    </row>
    <row r="48" spans="2:12" x14ac:dyDescent="0.25">
      <c r="B48" s="9" t="s">
        <v>118</v>
      </c>
      <c r="C48" s="8" t="str">
        <f>'Base de Dados FORMS'!CN1</f>
        <v>46) Existe fofoca por aqui.</v>
      </c>
      <c r="D48" s="6">
        <f>COUNTIF('Base de Dados FORMS'!$CN$2:$CN$147,'BD Quanti '!D2)</f>
        <v>26</v>
      </c>
      <c r="E48" s="6">
        <f>COUNTIF('Base de Dados FORMS'!$CN$2:$CN$147,'BD Quanti '!E2)</f>
        <v>43</v>
      </c>
      <c r="F48" s="6">
        <f>COUNTIF('Base de Dados FORMS'!$CN$2:$CN$147,'BD Quanti '!F2)</f>
        <v>17</v>
      </c>
      <c r="G48" s="6">
        <f>COUNTIF('Base de Dados FORMS'!$CN$2:$CN$147,'BD Quanti '!G2)</f>
        <v>6</v>
      </c>
      <c r="H48" s="6">
        <f t="shared" si="5"/>
        <v>69</v>
      </c>
      <c r="I48" s="6">
        <f t="shared" si="6"/>
        <v>23</v>
      </c>
      <c r="J48" s="5">
        <f t="shared" si="7"/>
        <v>92</v>
      </c>
      <c r="K48" s="30">
        <f>I48/(H48+I48)</f>
        <v>0.25</v>
      </c>
      <c r="L48" s="30">
        <f>H48/(H48+I48)</f>
        <v>0.75</v>
      </c>
    </row>
    <row r="49" spans="2:12" x14ac:dyDescent="0.25">
      <c r="B49" s="9" t="s">
        <v>121</v>
      </c>
      <c r="C49" s="8" t="str">
        <f>'Base de Dados FORMS'!CP1</f>
        <v>47) Percebo um clima de rivalidade (competição interna) aqui.</v>
      </c>
      <c r="D49" s="6">
        <f>COUNTIF('Base de Dados FORMS'!$CP$2:$CP$147,'BD Quanti '!D2)</f>
        <v>6</v>
      </c>
      <c r="E49" s="6">
        <f>COUNTIF('Base de Dados FORMS'!$CP$2:$CP$147,'BD Quanti '!E2)</f>
        <v>31</v>
      </c>
      <c r="F49" s="6">
        <f>COUNTIF('Base de Dados FORMS'!$CP$2:$CP$147,'BD Quanti '!F2)</f>
        <v>43</v>
      </c>
      <c r="G49" s="6">
        <f>COUNTIF('Base de Dados FORMS'!$CP$2:$CP$147,'BD Quanti '!G2)</f>
        <v>12</v>
      </c>
      <c r="H49" s="6">
        <f t="shared" si="5"/>
        <v>37</v>
      </c>
      <c r="I49" s="6">
        <f t="shared" si="6"/>
        <v>55</v>
      </c>
      <c r="J49" s="5">
        <f t="shared" si="7"/>
        <v>92</v>
      </c>
      <c r="K49" s="30">
        <f>I49/(H49+I49)</f>
        <v>0.59782608695652173</v>
      </c>
      <c r="L49" s="30">
        <f>H49/(H49+I49)</f>
        <v>0.40217391304347827</v>
      </c>
    </row>
    <row r="50" spans="2:12" ht="12" customHeight="1" x14ac:dyDescent="0.25">
      <c r="B50" s="9" t="s">
        <v>121</v>
      </c>
      <c r="C50" s="4" t="str">
        <f>'Base de Dados FORMS'!CR1</f>
        <v>48) Pretendo trabalhar aqui ainda por muito tempo.</v>
      </c>
      <c r="D50" s="5">
        <f>COUNTIF('Base de Dados FORMS'!$CR$2:$CR$147,'BD Quanti '!D2)</f>
        <v>37</v>
      </c>
      <c r="E50" s="5">
        <f>COUNTIF('Base de Dados FORMS'!$CR$2:$CR$147,'BD Quanti '!E2)</f>
        <v>41</v>
      </c>
      <c r="F50" s="5">
        <f>COUNTIF('Base de Dados FORMS'!$CR$2:$CR$147,'BD Quanti '!F2)</f>
        <v>13</v>
      </c>
      <c r="G50" s="5">
        <f>COUNTIF('Base de Dados FORMS'!$CR$2:$CR$147,'BD Quanti '!G2)</f>
        <v>1</v>
      </c>
      <c r="H50" s="5">
        <f t="shared" si="5"/>
        <v>78</v>
      </c>
      <c r="I50" s="5">
        <f t="shared" si="6"/>
        <v>14</v>
      </c>
      <c r="J50" s="5">
        <f t="shared" si="7"/>
        <v>92</v>
      </c>
      <c r="K50" s="29">
        <f>H50/(H50+I50)</f>
        <v>0.84782608695652173</v>
      </c>
      <c r="L50" s="29">
        <f>I50/(H50+I50)</f>
        <v>0.15217391304347827</v>
      </c>
    </row>
    <row r="51" spans="2:12" x14ac:dyDescent="0.25">
      <c r="B51" s="9" t="s">
        <v>121</v>
      </c>
      <c r="C51" s="4" t="str">
        <f>'Base de Dados FORMS'!CT1</f>
        <v>49) Existe um bom relacionamento entre as áreas da empresa (equipes das diferentes expertises de conhecimento).</v>
      </c>
      <c r="D51" s="5">
        <f>COUNTIF('Base de Dados FORMS'!$CT$2:$CT$147,'BD Quanti '!D2)</f>
        <v>15</v>
      </c>
      <c r="E51" s="5">
        <f>COUNTIF('Base de Dados FORMS'!$CT$2:$CT$147,'BD Quanti '!E2)</f>
        <v>60</v>
      </c>
      <c r="F51" s="5">
        <f>COUNTIF('Base de Dados FORMS'!$CT$2:$CT$147,'BD Quanti '!F2)</f>
        <v>16</v>
      </c>
      <c r="G51" s="5">
        <f>COUNTIF('Base de Dados FORMS'!$CT$2:$CT$147,'BD Quanti '!G2)</f>
        <v>1</v>
      </c>
      <c r="H51" s="5">
        <f t="shared" si="5"/>
        <v>75</v>
      </c>
      <c r="I51" s="5">
        <f t="shared" si="6"/>
        <v>17</v>
      </c>
      <c r="J51" s="5">
        <f t="shared" si="7"/>
        <v>92</v>
      </c>
      <c r="K51" s="29">
        <f>H51/(H51+I51)</f>
        <v>0.81521739130434778</v>
      </c>
      <c r="L51" s="29">
        <f>I51/(H51+I51)</f>
        <v>0.18478260869565216</v>
      </c>
    </row>
    <row r="52" spans="2:12" x14ac:dyDescent="0.25">
      <c r="B52" s="9" t="s">
        <v>121</v>
      </c>
      <c r="C52" s="4" t="str">
        <f>'Base de Dados FORMS'!CV1</f>
        <v>50) Levando-se tudo em conta, eu diria que este é um excelente lugar para trabalhar.</v>
      </c>
      <c r="D52" s="5">
        <f>COUNTIF('Base de Dados FORMS'!$CV$2:$CV$147,'BD Quanti '!D2)</f>
        <v>29</v>
      </c>
      <c r="E52" s="5">
        <f>COUNTIF('Base de Dados FORMS'!$CV$2:$CV$147,'BD Quanti '!E2)</f>
        <v>51</v>
      </c>
      <c r="F52" s="5">
        <f>COUNTIF('Base de Dados FORMS'!$CV$2:$CV$147,'BD Quanti '!F2)</f>
        <v>12</v>
      </c>
      <c r="G52" s="5">
        <f>COUNTIF('Base de Dados FORMS'!$CV$2:$CV$147,'BD Quanti '!G2)</f>
        <v>0</v>
      </c>
      <c r="H52" s="5">
        <f t="shared" si="5"/>
        <v>80</v>
      </c>
      <c r="I52" s="5">
        <f t="shared" si="6"/>
        <v>12</v>
      </c>
      <c r="J52" s="5">
        <f t="shared" si="7"/>
        <v>92</v>
      </c>
      <c r="K52" s="29">
        <f>H52/(H52+I52)</f>
        <v>0.86956521739130432</v>
      </c>
      <c r="L52" s="29">
        <f>I52/(H52+I52)</f>
        <v>0.13043478260869565</v>
      </c>
    </row>
    <row r="53" spans="2:12" ht="13.8" thickBot="1" x14ac:dyDescent="0.3">
      <c r="B53" s="36" t="s">
        <v>123</v>
      </c>
      <c r="C53" s="36" t="s">
        <v>122</v>
      </c>
      <c r="D53" s="37"/>
      <c r="E53" s="37"/>
      <c r="F53" s="37"/>
      <c r="G53" s="37"/>
      <c r="H53" s="37"/>
      <c r="I53" s="37"/>
      <c r="J53" s="37"/>
      <c r="K53" s="38">
        <f>AVERAGE(K3:K52)</f>
        <v>0.82828892005610133</v>
      </c>
      <c r="L53" s="38">
        <f>AVERAGE(L3:L52)</f>
        <v>0.171711079943899</v>
      </c>
    </row>
  </sheetData>
  <autoFilter ref="B2:L53" xr:uid="{42C18073-0060-4BF1-BA51-DD111E4DD0F2}"/>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CA4E-E405-4980-AF4D-2BDAD67B62D8}">
  <sheetPr filterMode="1">
    <tabColor theme="9" tint="0.39997558519241921"/>
  </sheetPr>
  <dimension ref="B2:M53"/>
  <sheetViews>
    <sheetView showGridLines="0" zoomScale="69" zoomScaleNormal="69" workbookViewId="0">
      <selection activeCell="B2" sqref="B2:DM93"/>
    </sheetView>
  </sheetViews>
  <sheetFormatPr defaultColWidth="8.6640625" defaultRowHeight="13.2" outlineLevelCol="1" x14ac:dyDescent="0.25"/>
  <cols>
    <col min="1" max="1" width="4.44140625" customWidth="1"/>
    <col min="2" max="2" width="40" customWidth="1"/>
    <col min="3" max="3" width="113" customWidth="1"/>
    <col min="4" max="10" width="15.6640625" style="5" hidden="1" customWidth="1" outlineLevel="1"/>
    <col min="11" max="11" width="15.6640625" customWidth="1" collapsed="1"/>
    <col min="12" max="12" width="15.6640625" hidden="1" customWidth="1" outlineLevel="1"/>
    <col min="13" max="13" width="9.109375" collapsed="1"/>
  </cols>
  <sheetData>
    <row r="2" spans="2:12" ht="13.8" thickBot="1" x14ac:dyDescent="0.3">
      <c r="B2" s="23" t="s">
        <v>115</v>
      </c>
      <c r="C2" s="24" t="s">
        <v>114</v>
      </c>
      <c r="D2" s="25" t="s">
        <v>108</v>
      </c>
      <c r="E2" s="25" t="s">
        <v>106</v>
      </c>
      <c r="F2" s="25" t="s">
        <v>107</v>
      </c>
      <c r="G2" s="25" t="s">
        <v>109</v>
      </c>
      <c r="H2" s="25" t="s">
        <v>110</v>
      </c>
      <c r="I2" s="25" t="s">
        <v>111</v>
      </c>
      <c r="J2" s="25" t="s">
        <v>125</v>
      </c>
      <c r="K2" s="25"/>
      <c r="L2" s="25" t="s">
        <v>113</v>
      </c>
    </row>
    <row r="3" spans="2:12" hidden="1" x14ac:dyDescent="0.25">
      <c r="B3" s="39" t="s">
        <v>121</v>
      </c>
      <c r="C3" s="40" t="str">
        <f>'Base de Dados FORMS'!CR1</f>
        <v>48) Pretendo trabalhar aqui ainda por muito tempo.</v>
      </c>
      <c r="D3" s="41">
        <f>COUNTIF('Base de Dados FORMS'!$CR$2:$CR$147,'BD Quanti '!D2)</f>
        <v>37</v>
      </c>
      <c r="E3" s="41">
        <f>COUNTIF('Base de Dados FORMS'!$CR$2:$CR$147,'BD Quanti '!E2)</f>
        <v>41</v>
      </c>
      <c r="F3" s="41">
        <f>COUNTIF('Base de Dados FORMS'!$CR$2:$CR$147,'BD Quanti '!F2)</f>
        <v>13</v>
      </c>
      <c r="G3" s="41">
        <f>COUNTIF('Base de Dados FORMS'!$CR$2:$CR$147,'BD Quanti '!G2)</f>
        <v>1</v>
      </c>
      <c r="H3" s="41">
        <f t="shared" ref="H3:H31" si="0">D3+E3</f>
        <v>78</v>
      </c>
      <c r="I3" s="41">
        <f t="shared" ref="I3:I31" si="1">F3+G3</f>
        <v>14</v>
      </c>
      <c r="J3" s="41">
        <f t="shared" ref="J3:J31" si="2">H3+I3</f>
        <v>92</v>
      </c>
      <c r="K3" s="42">
        <f>H3/(H3+I3)</f>
        <v>0.84782608695652173</v>
      </c>
      <c r="L3" s="29">
        <f t="shared" ref="L3:L31" si="3">I3/(H3+I3)</f>
        <v>0.15217391304347827</v>
      </c>
    </row>
    <row r="4" spans="2:12" hidden="1" x14ac:dyDescent="0.25">
      <c r="B4" s="9" t="s">
        <v>121</v>
      </c>
      <c r="C4" s="4" t="str">
        <f>'Base de Dados FORMS'!CV1</f>
        <v>50) Levando-se tudo em conta, eu diria que este é um excelente lugar para trabalhar.</v>
      </c>
      <c r="D4" s="5">
        <f>COUNTIF('Base de Dados FORMS'!$CV$2:$CV$147,'BD Quanti '!D2)</f>
        <v>29</v>
      </c>
      <c r="E4" s="5">
        <f>COUNTIF('Base de Dados FORMS'!$CV$2:$CV$147,'BD Quanti '!E2)</f>
        <v>51</v>
      </c>
      <c r="F4" s="5">
        <f>COUNTIF('Base de Dados FORMS'!$CV$2:$CV$147,'BD Quanti '!F2)</f>
        <v>12</v>
      </c>
      <c r="G4" s="5">
        <f>COUNTIF('Base de Dados FORMS'!$CV$2:$CV$147,'BD Quanti '!G2)</f>
        <v>0</v>
      </c>
      <c r="H4" s="5">
        <f t="shared" si="0"/>
        <v>80</v>
      </c>
      <c r="I4" s="5">
        <f t="shared" si="1"/>
        <v>12</v>
      </c>
      <c r="J4" s="5">
        <f t="shared" si="2"/>
        <v>92</v>
      </c>
      <c r="K4" s="29">
        <f t="shared" ref="K4:K31" si="4">H4/(H4+I4)</f>
        <v>0.86956521739130432</v>
      </c>
      <c r="L4" s="29">
        <f t="shared" si="3"/>
        <v>0.13043478260869565</v>
      </c>
    </row>
    <row r="5" spans="2:12" hidden="1" x14ac:dyDescent="0.25">
      <c r="B5" s="9" t="s">
        <v>121</v>
      </c>
      <c r="C5" s="4" t="str">
        <f>'Base de Dados FORMS'!CH1</f>
        <v>43) Eu sou bem tratado, independente de minha função na empresa.</v>
      </c>
      <c r="D5" s="5">
        <f>COUNTIF('Base de Dados FORMS'!$CH$2:$CH$147,'BD Quanti '!D2)</f>
        <v>46</v>
      </c>
      <c r="E5" s="5">
        <f>COUNTIF('Base de Dados FORMS'!$CH$2:$CH$147,'BD Quanti '!E2)</f>
        <v>45</v>
      </c>
      <c r="F5" s="5">
        <f>COUNTIF('Base de Dados FORMS'!$CH$2:$CH$147,'BD Quanti '!F2)</f>
        <v>0</v>
      </c>
      <c r="G5" s="5">
        <f>COUNTIF('Base de Dados FORMS'!$CH$2:$CH$147,'BD Quanti '!G2)</f>
        <v>1</v>
      </c>
      <c r="H5" s="5">
        <f t="shared" si="0"/>
        <v>91</v>
      </c>
      <c r="I5" s="5">
        <f t="shared" si="1"/>
        <v>1</v>
      </c>
      <c r="J5" s="5">
        <f t="shared" si="2"/>
        <v>92</v>
      </c>
      <c r="K5" s="29">
        <f t="shared" si="4"/>
        <v>0.98913043478260865</v>
      </c>
      <c r="L5" s="29">
        <f t="shared" si="3"/>
        <v>1.0869565217391304E-2</v>
      </c>
    </row>
    <row r="6" spans="2:12" hidden="1" x14ac:dyDescent="0.25">
      <c r="B6" s="39" t="s">
        <v>116</v>
      </c>
      <c r="C6" s="40" t="str">
        <f>'Base de Dados FORMS'!R1</f>
        <v>9) Meu trabalho tem um sentido especial. Para mim, não é só “mais um emprego”.</v>
      </c>
      <c r="D6" s="41">
        <f>COUNTIF('Base de Dados FORMS'!$R$2:$R$147,'BD Quanti '!D2)</f>
        <v>42</v>
      </c>
      <c r="E6" s="41">
        <f>COUNTIF('Base de Dados FORMS'!$R$2:$R$147,'BD Quanti '!E2)</f>
        <v>48</v>
      </c>
      <c r="F6" s="41">
        <f>COUNTIF('Base de Dados FORMS'!$R$2:$R$147,'BD Quanti '!F2)</f>
        <v>1</v>
      </c>
      <c r="G6" s="41">
        <f>COUNTIF('Base de Dados FORMS'!$R$2:$R$147,'BD Quanti '!G2)</f>
        <v>1</v>
      </c>
      <c r="H6" s="41">
        <f t="shared" si="0"/>
        <v>90</v>
      </c>
      <c r="I6" s="41">
        <f t="shared" si="1"/>
        <v>2</v>
      </c>
      <c r="J6" s="41">
        <f t="shared" si="2"/>
        <v>92</v>
      </c>
      <c r="K6" s="43">
        <f t="shared" si="4"/>
        <v>0.97826086956521741</v>
      </c>
      <c r="L6" s="35">
        <f t="shared" si="3"/>
        <v>2.1739130434782608E-2</v>
      </c>
    </row>
    <row r="7" spans="2:12" hidden="1" x14ac:dyDescent="0.25">
      <c r="B7" s="39" t="s">
        <v>121</v>
      </c>
      <c r="C7" s="40" t="str">
        <f>'Base de Dados FORMS'!CF1</f>
        <v>42) Você tem um bom relacionamento com a Diretoria da empresa.</v>
      </c>
      <c r="D7" s="41">
        <f>COUNTIF('Base de Dados FORMS'!$CF$2:$CF$147,'BD Quanti '!D2)</f>
        <v>38</v>
      </c>
      <c r="E7" s="41">
        <f>COUNTIF('Base de Dados FORMS'!$CF$2:$CF$147,'BD Quanti '!E2)</f>
        <v>47</v>
      </c>
      <c r="F7" s="41">
        <f>COUNTIF('Base de Dados FORMS'!$CF$2:$CF$147,'BD Quanti '!F2)</f>
        <v>7</v>
      </c>
      <c r="G7" s="41">
        <f>COUNTIF('Base de Dados FORMS'!$CF$2:$CF$147,'BD Quanti '!G2)</f>
        <v>0</v>
      </c>
      <c r="H7" s="41">
        <f t="shared" si="0"/>
        <v>85</v>
      </c>
      <c r="I7" s="41">
        <f t="shared" si="1"/>
        <v>7</v>
      </c>
      <c r="J7" s="41">
        <f t="shared" si="2"/>
        <v>92</v>
      </c>
      <c r="K7" s="42">
        <f t="shared" si="4"/>
        <v>0.92391304347826086</v>
      </c>
      <c r="L7" s="29">
        <f t="shared" si="3"/>
        <v>7.6086956521739135E-2</v>
      </c>
    </row>
    <row r="8" spans="2:12" hidden="1" x14ac:dyDescent="0.25">
      <c r="B8" s="9" t="s">
        <v>120</v>
      </c>
      <c r="C8" s="4" t="str">
        <f>'Base de Dados FORMS'!CL1</f>
        <v>45) Este é um lugar agradável para se trabalhar.</v>
      </c>
      <c r="D8" s="5">
        <f>COUNTIF('Base de Dados FORMS'!$CL$2:$CL$147,'BD Quanti '!D2)</f>
        <v>35</v>
      </c>
      <c r="E8" s="5">
        <f>COUNTIF('Base de Dados FORMS'!$CL$2:$CL$147,'BD Quanti '!E2)</f>
        <v>52</v>
      </c>
      <c r="F8" s="5">
        <f>COUNTIF('Base de Dados FORMS'!$CL$2:$CL$147,'BD Quanti '!F2)</f>
        <v>4</v>
      </c>
      <c r="G8" s="5">
        <f>COUNTIF('Base de Dados FORMS'!$CL$2:$CL$147,'BD Quanti '!G2)</f>
        <v>1</v>
      </c>
      <c r="H8" s="5">
        <f t="shared" si="0"/>
        <v>87</v>
      </c>
      <c r="I8" s="5">
        <f t="shared" si="1"/>
        <v>5</v>
      </c>
      <c r="J8" s="5">
        <f t="shared" si="2"/>
        <v>92</v>
      </c>
      <c r="K8" s="29">
        <f t="shared" si="4"/>
        <v>0.94565217391304346</v>
      </c>
      <c r="L8" s="29">
        <f t="shared" si="3"/>
        <v>5.434782608695652E-2</v>
      </c>
    </row>
    <row r="9" spans="2:12" x14ac:dyDescent="0.25">
      <c r="B9" s="39" t="s">
        <v>121</v>
      </c>
      <c r="C9" s="40" t="str">
        <f>'Base de Dados FORMS'!N1</f>
        <v>7) A empresa demonstra reconhecimento pelo bom trabalho e pelo esforço extra.</v>
      </c>
      <c r="D9" s="41">
        <f>COUNTIF('Base de Dados FORMS'!$N$2:$N$147,'BD Quanti '!D2)</f>
        <v>16</v>
      </c>
      <c r="E9" s="41">
        <f>COUNTIF('Base de Dados FORMS'!$N$2:$N$147,'BD Quanti '!E2)</f>
        <v>52</v>
      </c>
      <c r="F9" s="41">
        <f>COUNTIF('Base de Dados FORMS'!$N$2:$N$147,'BD Quanti '!F2)</f>
        <v>19</v>
      </c>
      <c r="G9" s="41">
        <f>COUNTIF('Base de Dados FORMS'!$N$2:$N$147,'BD Quanti '!G2)</f>
        <v>5</v>
      </c>
      <c r="H9" s="41">
        <f t="shared" si="0"/>
        <v>68</v>
      </c>
      <c r="I9" s="41">
        <f t="shared" si="1"/>
        <v>24</v>
      </c>
      <c r="J9" s="41">
        <f t="shared" si="2"/>
        <v>92</v>
      </c>
      <c r="K9" s="42">
        <f t="shared" si="4"/>
        <v>0.73913043478260865</v>
      </c>
      <c r="L9" s="29">
        <f t="shared" si="3"/>
        <v>0.2608695652173913</v>
      </c>
    </row>
    <row r="10" spans="2:12" hidden="1" x14ac:dyDescent="0.25">
      <c r="B10" s="9" t="s">
        <v>121</v>
      </c>
      <c r="C10" s="40" t="str">
        <f>'Base de Dados FORMS'!Z1</f>
        <v>13) Eu me sinto à vontade na empresa, sem precisar fingir que sou outra pessoa.</v>
      </c>
      <c r="D10" s="5">
        <f>COUNTIF('Base de Dados FORMS'!$Z$2:$Z$147,'BD Quanti '!D2)</f>
        <v>40</v>
      </c>
      <c r="E10" s="5">
        <f>COUNTIF('Base de Dados FORMS'!$Z$2:$Z$147,'BD Quanti '!E2)</f>
        <v>44</v>
      </c>
      <c r="F10" s="5">
        <f>COUNTIF('Base de Dados FORMS'!$Z$2:$Z$147,'BD Quanti '!F2)</f>
        <v>7</v>
      </c>
      <c r="G10" s="5">
        <f>COUNTIF('Base de Dados FORMS'!$Z$2:$Z$147,'BD Quanti '!G2)</f>
        <v>1</v>
      </c>
      <c r="H10" s="5">
        <f t="shared" si="0"/>
        <v>84</v>
      </c>
      <c r="I10" s="5">
        <f t="shared" si="1"/>
        <v>8</v>
      </c>
      <c r="J10" s="5">
        <f t="shared" si="2"/>
        <v>92</v>
      </c>
      <c r="K10" s="29">
        <f t="shared" si="4"/>
        <v>0.91304347826086951</v>
      </c>
      <c r="L10" s="29">
        <f t="shared" si="3"/>
        <v>8.6956521739130432E-2</v>
      </c>
    </row>
    <row r="11" spans="2:12" hidden="1" x14ac:dyDescent="0.25">
      <c r="B11" s="39" t="s">
        <v>120</v>
      </c>
      <c r="C11" s="40" t="str">
        <f>'Base de Dados FORMS'!D1</f>
        <v>2) Eu recebo os equipamentos e recursos necessários para realizar o meu trabalho.</v>
      </c>
      <c r="D11" s="41">
        <f>COUNTIF('Base de Dados FORMS'!$D$2:$D$147,'BD Quanti '!$D$2)</f>
        <v>26</v>
      </c>
      <c r="E11" s="41">
        <f>COUNTIF('Base de Dados FORMS'!$D$2:$D$147,'BD Quanti '!E2)</f>
        <v>51</v>
      </c>
      <c r="F11" s="41">
        <f>COUNTIF('Base de Dados FORMS'!$D$2:$D$147,'BD Quanti '!F2)</f>
        <v>14</v>
      </c>
      <c r="G11" s="41">
        <f>COUNTIF('Base de Dados FORMS'!$D$2:$D$147,'BD Quanti '!G2)</f>
        <v>1</v>
      </c>
      <c r="H11" s="41">
        <f t="shared" si="0"/>
        <v>77</v>
      </c>
      <c r="I11" s="41">
        <f t="shared" si="1"/>
        <v>15</v>
      </c>
      <c r="J11" s="41">
        <f t="shared" si="2"/>
        <v>92</v>
      </c>
      <c r="K11" s="42">
        <f t="shared" si="4"/>
        <v>0.83695652173913049</v>
      </c>
      <c r="L11" s="29">
        <f t="shared" si="3"/>
        <v>0.16304347826086957</v>
      </c>
    </row>
    <row r="12" spans="2:12" hidden="1" x14ac:dyDescent="0.25">
      <c r="B12" s="39" t="s">
        <v>121</v>
      </c>
      <c r="C12" s="40" t="str">
        <f>'Base de Dados FORMS'!CT1</f>
        <v>49) Existe um bom relacionamento entre as áreas da empresa (equipes das diferentes expertises de conhecimento).</v>
      </c>
      <c r="D12" s="41">
        <f>COUNTIF('Base de Dados FORMS'!$CT$2:$CT$147,'BD Quanti '!D2)</f>
        <v>15</v>
      </c>
      <c r="E12" s="41">
        <f>COUNTIF('Base de Dados FORMS'!$CT$2:$CT$147,'BD Quanti '!E2)</f>
        <v>60</v>
      </c>
      <c r="F12" s="41">
        <f>COUNTIF('Base de Dados FORMS'!$CT$2:$CT$147,'BD Quanti '!F2)</f>
        <v>16</v>
      </c>
      <c r="G12" s="41">
        <f>COUNTIF('Base de Dados FORMS'!$CT$2:$CT$147,'BD Quanti '!G2)</f>
        <v>1</v>
      </c>
      <c r="H12" s="41">
        <f t="shared" si="0"/>
        <v>75</v>
      </c>
      <c r="I12" s="41">
        <f t="shared" si="1"/>
        <v>17</v>
      </c>
      <c r="J12" s="41">
        <f t="shared" si="2"/>
        <v>92</v>
      </c>
      <c r="K12" s="42">
        <f t="shared" si="4"/>
        <v>0.81521739130434778</v>
      </c>
      <c r="L12" s="29">
        <f t="shared" si="3"/>
        <v>0.18478260869565216</v>
      </c>
    </row>
    <row r="13" spans="2:12" hidden="1" x14ac:dyDescent="0.25">
      <c r="B13" s="39" t="s">
        <v>121</v>
      </c>
      <c r="C13" s="40" t="str">
        <f>'Base de Dados FORMS'!L1</f>
        <v>6) Você tem uma visão clara de para onde estamos indo (futuro da empresa) e como fazer para chegar lá.</v>
      </c>
      <c r="D13" s="41">
        <f>COUNTIF('Base de Dados FORMS'!$L$2:$L$147,'BD Quanti '!D2)</f>
        <v>24</v>
      </c>
      <c r="E13" s="41">
        <f>COUNTIF('Base de Dados FORMS'!$L$2:$L$147,'BD Quanti '!E2)</f>
        <v>55</v>
      </c>
      <c r="F13" s="41">
        <f>COUNTIF('Base de Dados FORMS'!$L$2:$L$147,'BD Quanti '!F2)</f>
        <v>12</v>
      </c>
      <c r="G13" s="41">
        <f>COUNTIF('Base de Dados FORMS'!$L$2:$L$147,'BD Quanti '!G2)</f>
        <v>1</v>
      </c>
      <c r="H13" s="41">
        <f t="shared" si="0"/>
        <v>79</v>
      </c>
      <c r="I13" s="41">
        <f t="shared" si="1"/>
        <v>13</v>
      </c>
      <c r="J13" s="41">
        <f t="shared" si="2"/>
        <v>92</v>
      </c>
      <c r="K13" s="42">
        <f t="shared" si="4"/>
        <v>0.85869565217391308</v>
      </c>
      <c r="L13" s="29">
        <f t="shared" si="3"/>
        <v>0.14130434782608695</v>
      </c>
    </row>
    <row r="14" spans="2:12" hidden="1" x14ac:dyDescent="0.25">
      <c r="B14" s="9" t="s">
        <v>116</v>
      </c>
      <c r="C14" s="4" t="str">
        <f>'Base de Dados FORMS'!X1</f>
        <v>12) As pessoas aqui têm vontade de vir para o trabalho.</v>
      </c>
      <c r="D14" s="5">
        <f>COUNTIF('Base de Dados FORMS'!$X$2:$X$147,'BD Quanti '!D2)</f>
        <v>11</v>
      </c>
      <c r="E14" s="5">
        <f>COUNTIF('Base de Dados FORMS'!$X$2:$X$147,'BD Quanti '!E2)</f>
        <v>63</v>
      </c>
      <c r="F14" s="5">
        <f>COUNTIF('Base de Dados FORMS'!$X$2:$X$147,'BD Quanti '!F2)</f>
        <v>18</v>
      </c>
      <c r="G14" s="5">
        <f>COUNTIF('Base de Dados FORMS'!$X$2:$X$147,'BD Quanti '!G2)</f>
        <v>0</v>
      </c>
      <c r="H14" s="5">
        <f t="shared" si="0"/>
        <v>74</v>
      </c>
      <c r="I14" s="5">
        <f t="shared" si="1"/>
        <v>18</v>
      </c>
      <c r="J14" s="5">
        <f t="shared" si="2"/>
        <v>92</v>
      </c>
      <c r="K14" s="29">
        <f t="shared" si="4"/>
        <v>0.80434782608695654</v>
      </c>
      <c r="L14" s="29">
        <f t="shared" si="3"/>
        <v>0.19565217391304349</v>
      </c>
    </row>
    <row r="15" spans="2:12" hidden="1" x14ac:dyDescent="0.25">
      <c r="B15" s="9" t="s">
        <v>119</v>
      </c>
      <c r="C15" s="4" t="str">
        <f>'Base de Dados FORMS'!AR1</f>
        <v>22) É fácil se aproximar do seu líder e é também fácil de falar com ele.</v>
      </c>
      <c r="D15" s="5">
        <f>COUNTIF('Base de Dados FORMS'!$AR$2:$AR$147,'BD Quanti '!D2)</f>
        <v>49</v>
      </c>
      <c r="E15" s="5">
        <f>COUNTIF('Base de Dados FORMS'!$AR$2:$AR$147,'BD Quanti '!E2)</f>
        <v>41</v>
      </c>
      <c r="F15" s="5">
        <f>COUNTIF('Base de Dados FORMS'!$AR$2:$AR$147,'BD Quanti '!F2)</f>
        <v>2</v>
      </c>
      <c r="G15" s="5">
        <f>COUNTIF('Base de Dados FORMS'!$AR$2:$AR$147,'BD Quanti '!G2)</f>
        <v>0</v>
      </c>
      <c r="H15" s="5">
        <f t="shared" si="0"/>
        <v>90</v>
      </c>
      <c r="I15" s="5">
        <f t="shared" si="1"/>
        <v>2</v>
      </c>
      <c r="J15" s="5">
        <f t="shared" si="2"/>
        <v>92</v>
      </c>
      <c r="K15" s="29">
        <f t="shared" si="4"/>
        <v>0.97826086956521741</v>
      </c>
      <c r="L15" s="29">
        <f t="shared" si="3"/>
        <v>2.1739130434782608E-2</v>
      </c>
    </row>
    <row r="16" spans="2:12" hidden="1" x14ac:dyDescent="0.25">
      <c r="B16" s="9" t="s">
        <v>121</v>
      </c>
      <c r="C16" s="4" t="str">
        <f>'Base de Dados FORMS'!CJ1</f>
        <v>44) Sinto que sou valorizado aqui e que posso fazer a diferença.</v>
      </c>
      <c r="D16" s="5">
        <f>COUNTIF('Base de Dados FORMS'!$CJ$2:$CJ$147,'BD Quanti '!D2)</f>
        <v>29</v>
      </c>
      <c r="E16" s="5">
        <f>COUNTIF('Base de Dados FORMS'!$CJ$2:$CJ$147,'BD Quanti '!E2)</f>
        <v>48</v>
      </c>
      <c r="F16" s="5">
        <f>COUNTIF('Base de Dados FORMS'!$CJ$2:$CJ$147,'BD Quanti '!F2)</f>
        <v>12</v>
      </c>
      <c r="G16" s="5">
        <f>COUNTIF('Base de Dados FORMS'!$CJ$2:$CJ$147,'BD Quanti '!G2)</f>
        <v>3</v>
      </c>
      <c r="H16" s="5">
        <f t="shared" si="0"/>
        <v>77</v>
      </c>
      <c r="I16" s="5">
        <f t="shared" si="1"/>
        <v>15</v>
      </c>
      <c r="J16" s="5">
        <f t="shared" si="2"/>
        <v>92</v>
      </c>
      <c r="K16" s="29">
        <f t="shared" si="4"/>
        <v>0.83695652173913049</v>
      </c>
      <c r="L16" s="29">
        <f t="shared" si="3"/>
        <v>0.16304347826086957</v>
      </c>
    </row>
    <row r="17" spans="2:12" hidden="1" x14ac:dyDescent="0.25">
      <c r="B17" s="39" t="s">
        <v>121</v>
      </c>
      <c r="C17" s="40" t="str">
        <f>'Base de Dados FORMS'!AD1</f>
        <v>15) Você acredita que a empresa só promoveria uma demissão em massa como último recurso.</v>
      </c>
      <c r="D17" s="41">
        <f>COUNTIF('Base de Dados FORMS'!$AD$2:$AD$147,'BD Quanti '!D2)</f>
        <v>24</v>
      </c>
      <c r="E17" s="41">
        <f>COUNTIF('Base de Dados FORMS'!$AD$2:$AD$147,'BD Quanti '!E2)</f>
        <v>56</v>
      </c>
      <c r="F17" s="41">
        <f>COUNTIF('Base de Dados FORMS'!$AD$2:$AD$147,'BD Quanti '!F2)</f>
        <v>11</v>
      </c>
      <c r="G17" s="41">
        <f>COUNTIF('Base de Dados FORMS'!$AD$2:$AD$147,'BD Quanti '!G2)</f>
        <v>1</v>
      </c>
      <c r="H17" s="41">
        <f t="shared" si="0"/>
        <v>80</v>
      </c>
      <c r="I17" s="41">
        <f t="shared" si="1"/>
        <v>12</v>
      </c>
      <c r="J17" s="41">
        <f t="shared" si="2"/>
        <v>92</v>
      </c>
      <c r="K17" s="42">
        <f t="shared" si="4"/>
        <v>0.86956521739130432</v>
      </c>
      <c r="L17" s="29">
        <f t="shared" si="3"/>
        <v>0.13043478260869565</v>
      </c>
    </row>
    <row r="18" spans="2:12" hidden="1" x14ac:dyDescent="0.25">
      <c r="B18" s="9" t="s">
        <v>119</v>
      </c>
      <c r="C18" s="4" t="str">
        <f>'Base de Dados FORMS'!AH1</f>
        <v>17) Você sabe com clareza quem é seu líder (superior imediato).</v>
      </c>
      <c r="D18" s="5">
        <f>COUNTIF('Base de Dados FORMS'!$AH$2:$AH$147,'BD Quanti '!D2)</f>
        <v>41</v>
      </c>
      <c r="E18" s="5">
        <f>COUNTIF('Base de Dados FORMS'!$AH$2:$AH$147,'BD Quanti '!E2)</f>
        <v>47</v>
      </c>
      <c r="F18" s="5">
        <f>COUNTIF('Base de Dados FORMS'!$AH$2:$AH$147,'BD Quanti '!F2)</f>
        <v>3</v>
      </c>
      <c r="G18" s="5">
        <f>COUNTIF('Base de Dados FORMS'!$AH$2:$AH$147,'BD Quanti '!G2)</f>
        <v>1</v>
      </c>
      <c r="H18" s="5">
        <f t="shared" si="0"/>
        <v>88</v>
      </c>
      <c r="I18" s="5">
        <f t="shared" si="1"/>
        <v>4</v>
      </c>
      <c r="J18" s="5">
        <f t="shared" si="2"/>
        <v>92</v>
      </c>
      <c r="K18" s="29">
        <f t="shared" si="4"/>
        <v>0.95652173913043481</v>
      </c>
      <c r="L18" s="29">
        <f t="shared" si="3"/>
        <v>4.3478260869565216E-2</v>
      </c>
    </row>
    <row r="19" spans="2:12" hidden="1" x14ac:dyDescent="0.25">
      <c r="B19" s="9" t="s">
        <v>119</v>
      </c>
      <c r="C19" s="4" t="str">
        <f>'Base de Dados FORMS'!AJ1</f>
        <v>18) O seu líder (superior imediato) deixa claro o que ele espera do seu trabalho.</v>
      </c>
      <c r="D19" s="5">
        <f>COUNTIF('Base de Dados FORMS'!$AJ$2:$AJ$147,'BD Quanti '!D2)</f>
        <v>33</v>
      </c>
      <c r="E19" s="5">
        <f>COUNTIF('Base de Dados FORMS'!$AJ$2:$AJ$147,'BD Quanti '!E2)</f>
        <v>48</v>
      </c>
      <c r="F19" s="5">
        <f>COUNTIF('Base de Dados FORMS'!$AJ$2:$AJ$147,'BD Quanti '!F2)</f>
        <v>11</v>
      </c>
      <c r="G19" s="5">
        <f>COUNTIF('Base de Dados FORMS'!$AH$2:$AJ$147,'BD Quanti '!G2)</f>
        <v>1</v>
      </c>
      <c r="H19" s="5">
        <f t="shared" si="0"/>
        <v>81</v>
      </c>
      <c r="I19" s="5">
        <f t="shared" si="1"/>
        <v>12</v>
      </c>
      <c r="J19" s="5">
        <f t="shared" si="2"/>
        <v>93</v>
      </c>
      <c r="K19" s="29">
        <f t="shared" si="4"/>
        <v>0.87096774193548387</v>
      </c>
      <c r="L19" s="29">
        <f t="shared" si="3"/>
        <v>0.12903225806451613</v>
      </c>
    </row>
    <row r="20" spans="2:12" hidden="1" x14ac:dyDescent="0.25">
      <c r="B20" s="9" t="s">
        <v>119</v>
      </c>
      <c r="C20" s="4" t="str">
        <f>'Base de Dados FORMS'!AL1</f>
        <v>19) O seu líder demonstra comprometimento com o negócio da empresa (interesse no crescimento da empresa).</v>
      </c>
      <c r="D20" s="5">
        <f>COUNTIF('Base de Dados FORMS'!$AL$2:$AL$147,'BD Quanti '!D2)</f>
        <v>45</v>
      </c>
      <c r="E20" s="5">
        <f>COUNTIF('Base de Dados FORMS'!$AL$2:$AL$147,'BD Quanti '!E2)</f>
        <v>40</v>
      </c>
      <c r="F20" s="5">
        <f>COUNTIF('Base de Dados FORMS'!$AL$2:$AL$147,'BD Quanti '!F2)</f>
        <v>7</v>
      </c>
      <c r="G20" s="5">
        <f>COUNTIF('Base de Dados FORMS'!$AL$2:$AL$147,'BD Quanti '!G2)</f>
        <v>0</v>
      </c>
      <c r="H20" s="5">
        <f t="shared" si="0"/>
        <v>85</v>
      </c>
      <c r="I20" s="5">
        <f t="shared" si="1"/>
        <v>7</v>
      </c>
      <c r="J20" s="5">
        <f t="shared" si="2"/>
        <v>92</v>
      </c>
      <c r="K20" s="29">
        <f t="shared" si="4"/>
        <v>0.92391304347826086</v>
      </c>
      <c r="L20" s="29">
        <f t="shared" si="3"/>
        <v>7.6086956521739135E-2</v>
      </c>
    </row>
    <row r="21" spans="2:12" hidden="1" x14ac:dyDescent="0.25">
      <c r="B21" s="9" t="s">
        <v>121</v>
      </c>
      <c r="C21" s="4" t="str">
        <f>'Base de Dados FORMS'!BR1</f>
        <v>35) As pessoas aqui na empresa são bem tratadas independentemente da sua idade, cor, religião ou sexo.</v>
      </c>
      <c r="D21" s="5">
        <f>COUNTIF('Base de Dados FORMS'!$BR$2:$BR$147,'BD Quanti '!D2)</f>
        <v>46</v>
      </c>
      <c r="E21" s="5">
        <f>COUNTIF('Base de Dados FORMS'!$BR$2:$BR$147,'BD Quanti '!E2)</f>
        <v>45</v>
      </c>
      <c r="F21" s="5">
        <f>COUNTIF('Base de Dados FORMS'!$BR$2:$BR$147,'BD Quanti '!F2)</f>
        <v>1</v>
      </c>
      <c r="G21" s="5">
        <f>COUNTIF('Base de Dados FORMS'!$BR$2:$BR$147,'BD Quanti '!G2)</f>
        <v>0</v>
      </c>
      <c r="H21" s="5">
        <f t="shared" si="0"/>
        <v>91</v>
      </c>
      <c r="I21" s="5">
        <f t="shared" si="1"/>
        <v>1</v>
      </c>
      <c r="J21" s="5">
        <f t="shared" si="2"/>
        <v>92</v>
      </c>
      <c r="K21" s="29">
        <f t="shared" si="4"/>
        <v>0.98913043478260865</v>
      </c>
      <c r="L21" s="29">
        <f t="shared" si="3"/>
        <v>1.0869565217391304E-2</v>
      </c>
    </row>
    <row r="22" spans="2:12" hidden="1" x14ac:dyDescent="0.25">
      <c r="B22" s="9" t="s">
        <v>117</v>
      </c>
      <c r="C22" s="4" t="str">
        <f>'Base de Dados FORMS'!BX1</f>
        <v>38) Existe um sentimento de equipe por aqui.</v>
      </c>
      <c r="D22" s="5">
        <f>COUNTIF('Base de Dados FORMS'!$BX$2:$BX$147,'BD Quanti '!D2)</f>
        <v>19</v>
      </c>
      <c r="E22" s="5">
        <f>COUNTIF('Base de Dados FORMS'!$BX$2:$BX$147,'BD Quanti '!E2)</f>
        <v>60</v>
      </c>
      <c r="F22" s="5">
        <f>COUNTIF('Base de Dados FORMS'!$BX$2:$BX$147,'BD Quanti '!F2)</f>
        <v>10</v>
      </c>
      <c r="G22" s="5">
        <f>COUNTIF('Base de Dados FORMS'!$BX$2:$BX$147,'BD Quanti '!G2)</f>
        <v>3</v>
      </c>
      <c r="H22" s="5">
        <f t="shared" si="0"/>
        <v>79</v>
      </c>
      <c r="I22" s="5">
        <f t="shared" si="1"/>
        <v>13</v>
      </c>
      <c r="J22" s="5">
        <f t="shared" si="2"/>
        <v>92</v>
      </c>
      <c r="K22" s="29">
        <f t="shared" si="4"/>
        <v>0.85869565217391308</v>
      </c>
      <c r="L22" s="29">
        <f t="shared" si="3"/>
        <v>0.14130434782608695</v>
      </c>
    </row>
    <row r="23" spans="2:12" x14ac:dyDescent="0.25">
      <c r="B23" s="39" t="s">
        <v>121</v>
      </c>
      <c r="C23" s="40" t="str">
        <f>'Base de Dados FORMS'!BZ1</f>
        <v>39) Nós sempre comemoramos as metas atingidas e os eventos especiais.</v>
      </c>
      <c r="D23" s="41">
        <f>COUNTIF('Base de Dados FORMS'!$BZ$2:$BZ$147,'BD Quanti '!D2)</f>
        <v>32</v>
      </c>
      <c r="E23" s="41">
        <f>COUNTIF('Base de Dados FORMS'!$BZ$2:$BZ$147,'BD Quanti '!E2)</f>
        <v>30</v>
      </c>
      <c r="F23" s="41">
        <f>COUNTIF('Base de Dados FORMS'!$BZ$2:$BZ$147,'BD Quanti '!F2)</f>
        <v>22</v>
      </c>
      <c r="G23" s="41">
        <f>COUNTIF('Base de Dados FORMS'!$BZ$2:$BZ$147,'BD Quanti '!G2)</f>
        <v>8</v>
      </c>
      <c r="H23" s="41">
        <f t="shared" si="0"/>
        <v>62</v>
      </c>
      <c r="I23" s="41">
        <f t="shared" si="1"/>
        <v>30</v>
      </c>
      <c r="J23" s="41">
        <f t="shared" si="2"/>
        <v>92</v>
      </c>
      <c r="K23" s="42">
        <f t="shared" si="4"/>
        <v>0.67391304347826086</v>
      </c>
      <c r="L23" s="29">
        <f t="shared" si="3"/>
        <v>0.32608695652173914</v>
      </c>
    </row>
    <row r="24" spans="2:12" hidden="1" x14ac:dyDescent="0.25">
      <c r="B24" s="9" t="s">
        <v>117</v>
      </c>
      <c r="C24" s="4" t="str">
        <f>'Base de Dados FORMS'!H1</f>
        <v>4) Pode-se contar com a colaboração das pessoas por aqui.</v>
      </c>
      <c r="D24" s="5">
        <f>COUNTIF('Base de Dados FORMS'!$H$2:$H$147,'BD Quanti '!D2)</f>
        <v>27</v>
      </c>
      <c r="E24" s="5">
        <f>COUNTIF('Base de Dados FORMS'!$H$2:$H$147,'BD Quanti '!E2)</f>
        <v>53</v>
      </c>
      <c r="F24" s="5">
        <f>COUNTIF('Base de Dados FORMS'!$H$2:$H$147,'BD Quanti '!F2)</f>
        <v>12</v>
      </c>
      <c r="G24" s="5">
        <f>COUNTIF('Base de Dados FORMS'!$H$2:$H$147,'BD Quanti '!G2)</f>
        <v>0</v>
      </c>
      <c r="H24" s="5">
        <f t="shared" si="0"/>
        <v>80</v>
      </c>
      <c r="I24" s="5">
        <f t="shared" si="1"/>
        <v>12</v>
      </c>
      <c r="J24" s="5">
        <f t="shared" si="2"/>
        <v>92</v>
      </c>
      <c r="K24" s="29">
        <f t="shared" si="4"/>
        <v>0.86956521739130432</v>
      </c>
      <c r="L24" s="29">
        <f t="shared" si="3"/>
        <v>0.13043478260869565</v>
      </c>
    </row>
    <row r="25" spans="2:12" hidden="1" x14ac:dyDescent="0.25">
      <c r="B25" s="9" t="s">
        <v>120</v>
      </c>
      <c r="C25" s="4" t="str">
        <f>'Base de Dados FORMS'!B1</f>
        <v>1) Este é um lugar (ambiente físico) agradável para trabalhar.</v>
      </c>
      <c r="D25" s="5">
        <f>COUNTIF('Base de Dados FORMS'!$B$2:$B$147,'BD Quanti '!D2)</f>
        <v>25</v>
      </c>
      <c r="E25" s="5">
        <f>COUNTIF('Base de Dados FORMS'!$B$2:$B$147,'BD Quanti '!E2)</f>
        <v>56</v>
      </c>
      <c r="F25" s="5">
        <f>COUNTIF('Base de Dados FORMS'!$B$2:$B$147,'BD Quanti '!F2)</f>
        <v>10</v>
      </c>
      <c r="G25" s="5">
        <f>COUNTIF('Base de Dados FORMS'!$B$2:$B$147,'BD Quanti '!G2)</f>
        <v>1</v>
      </c>
      <c r="H25" s="5">
        <f t="shared" si="0"/>
        <v>81</v>
      </c>
      <c r="I25" s="5">
        <f t="shared" si="1"/>
        <v>11</v>
      </c>
      <c r="J25" s="5">
        <f t="shared" si="2"/>
        <v>92</v>
      </c>
      <c r="K25" s="29">
        <f t="shared" si="4"/>
        <v>0.88043478260869568</v>
      </c>
      <c r="L25" s="29">
        <f t="shared" si="3"/>
        <v>0.11956521739130435</v>
      </c>
    </row>
    <row r="26" spans="2:12" hidden="1" x14ac:dyDescent="0.25">
      <c r="B26" s="9" t="s">
        <v>119</v>
      </c>
      <c r="C26" s="4" t="str">
        <f>'Base de Dados FORMS'!AN1</f>
        <v>20) O seu líder é honesto e ético na condução dos negócios.</v>
      </c>
      <c r="D26" s="5">
        <f>COUNTIF('Base de Dados FORMS'!$AN$2:$AN$147,'BD Quanti '!D2)</f>
        <v>42</v>
      </c>
      <c r="E26" s="5">
        <f>COUNTIF('Base de Dados FORMS'!$AN$2:$AN$147,'BD Quanti '!E2)</f>
        <v>46</v>
      </c>
      <c r="F26" s="5">
        <f>COUNTIF('Base de Dados FORMS'!$AN$2:$AN$147,'BD Quanti '!F2)</f>
        <v>4</v>
      </c>
      <c r="G26" s="5">
        <f>COUNTIF('Base de Dados FORMS'!$AN$2:$AN$147,'BD Quanti '!G2)</f>
        <v>0</v>
      </c>
      <c r="H26" s="5">
        <f t="shared" si="0"/>
        <v>88</v>
      </c>
      <c r="I26" s="5">
        <f t="shared" si="1"/>
        <v>4</v>
      </c>
      <c r="J26" s="5">
        <f t="shared" si="2"/>
        <v>92</v>
      </c>
      <c r="K26" s="29">
        <f t="shared" si="4"/>
        <v>0.95652173913043481</v>
      </c>
      <c r="L26" s="29">
        <f t="shared" si="3"/>
        <v>4.3478260869565216E-2</v>
      </c>
    </row>
    <row r="27" spans="2:12" hidden="1" x14ac:dyDescent="0.25">
      <c r="B27" s="9" t="s">
        <v>116</v>
      </c>
      <c r="C27" s="4" t="str">
        <f>'Base de Dados FORMS'!V1</f>
        <v>11) Tenho orgulho de contar com as pessoas que trabalho aqui.</v>
      </c>
      <c r="D27" s="5">
        <f>COUNTIF('Base de Dados FORMS'!$V$2:$V$147,'BD Quanti '!D2)</f>
        <v>26</v>
      </c>
      <c r="E27" s="5">
        <f>COUNTIF('Base de Dados FORMS'!$V$2:$V$147,'BD Quanti '!E2)</f>
        <v>59</v>
      </c>
      <c r="F27" s="5">
        <f>COUNTIF('Base de Dados FORMS'!$V$2:$V$147,'BD Quanti '!F2)</f>
        <v>6</v>
      </c>
      <c r="G27" s="5">
        <f>COUNTIF('Base de Dados FORMS'!$V$2:$V$147,'BD Quanti '!G2)</f>
        <v>1</v>
      </c>
      <c r="H27" s="5">
        <f t="shared" si="0"/>
        <v>85</v>
      </c>
      <c r="I27" s="5">
        <f t="shared" si="1"/>
        <v>7</v>
      </c>
      <c r="J27" s="5">
        <f t="shared" si="2"/>
        <v>92</v>
      </c>
      <c r="K27" s="29">
        <f t="shared" si="4"/>
        <v>0.92391304347826086</v>
      </c>
      <c r="L27" s="29">
        <f t="shared" si="3"/>
        <v>7.6086956521739135E-2</v>
      </c>
    </row>
    <row r="28" spans="2:12" hidden="1" x14ac:dyDescent="0.25">
      <c r="B28" s="9" t="s">
        <v>121</v>
      </c>
      <c r="C28" s="4" t="str">
        <f>'Base de Dados FORMS'!T1</f>
        <v>10) Quando é contratado um funcionário novo, as pessoas fazem com que ele se sinta bem-vindo.</v>
      </c>
      <c r="D28" s="5">
        <f>COUNTIF('Base de Dados FORMS'!$T$2:$T$147,'BD Quanti '!D2)</f>
        <v>46</v>
      </c>
      <c r="E28" s="5">
        <f>COUNTIF('Base de Dados FORMS'!$T$2:$T$147,'BD Quanti '!E2)</f>
        <v>41</v>
      </c>
      <c r="F28" s="5">
        <f>COUNTIF('Base de Dados FORMS'!$T$2:$T$147,'BD Quanti '!F2)</f>
        <v>4</v>
      </c>
      <c r="G28" s="5">
        <f>COUNTIF('Base de Dados FORMS'!$T$2:$T$147,'BD Quanti '!G2)</f>
        <v>1</v>
      </c>
      <c r="H28" s="5">
        <f t="shared" si="0"/>
        <v>87</v>
      </c>
      <c r="I28" s="5">
        <f t="shared" si="1"/>
        <v>5</v>
      </c>
      <c r="J28" s="5">
        <f t="shared" si="2"/>
        <v>92</v>
      </c>
      <c r="K28" s="29">
        <f t="shared" si="4"/>
        <v>0.94565217391304346</v>
      </c>
      <c r="L28" s="29">
        <f t="shared" si="3"/>
        <v>5.434782608695652E-2</v>
      </c>
    </row>
    <row r="29" spans="2:12" hidden="1" x14ac:dyDescent="0.25">
      <c r="B29" s="39" t="s">
        <v>119</v>
      </c>
      <c r="C29" s="40" t="str">
        <f>'Base de Dados FORMS'!AT1</f>
        <v>23) O seu líder treina as pessoas com o foco nas suas necessidades.</v>
      </c>
      <c r="D29" s="41">
        <f>COUNTIF('Base de Dados FORMS'!$AT$2:$AT$147,'BD Quanti '!D2)</f>
        <v>26</v>
      </c>
      <c r="E29" s="41">
        <f>COUNTIF('Base de Dados FORMS'!$AT$2:$AT$147,'BD Quanti '!E2)</f>
        <v>48</v>
      </c>
      <c r="F29" s="41">
        <f>COUNTIF('Base de Dados FORMS'!$AT$2:$AT$147,'BD Quanti '!F2)</f>
        <v>15</v>
      </c>
      <c r="G29" s="41">
        <f>COUNTIF('Base de Dados FORMS'!$AT$2:$AT$147,'BD Quanti '!G2)</f>
        <v>3</v>
      </c>
      <c r="H29" s="41">
        <f t="shared" si="0"/>
        <v>74</v>
      </c>
      <c r="I29" s="41">
        <f t="shared" si="1"/>
        <v>18</v>
      </c>
      <c r="J29" s="41">
        <f t="shared" si="2"/>
        <v>92</v>
      </c>
      <c r="K29" s="42">
        <f t="shared" si="4"/>
        <v>0.80434782608695654</v>
      </c>
      <c r="L29" s="29">
        <f t="shared" si="3"/>
        <v>0.19565217391304349</v>
      </c>
    </row>
    <row r="30" spans="2:12" hidden="1" x14ac:dyDescent="0.25">
      <c r="B30" s="9" t="s">
        <v>116</v>
      </c>
      <c r="C30" s="4" t="str">
        <f>'Base de Dados FORMS'!F1</f>
        <v>3) As pessoas aqui estão dispostas a fazer um pouco além da sua obrigação para concluir um trabalho.</v>
      </c>
      <c r="D30" s="5">
        <f>COUNTIF('Base de Dados FORMS'!$F$2:$F$147,'BD Quanti '!D2)</f>
        <v>18</v>
      </c>
      <c r="E30" s="5">
        <f>COUNTIF('Base de Dados FORMS'!$F$2:$F$147,'BD Quanti '!E2)</f>
        <v>57</v>
      </c>
      <c r="F30" s="5">
        <f>COUNTIF('Base de Dados FORMS'!$F$2:$F$147,'BD Quanti '!F2)</f>
        <v>14</v>
      </c>
      <c r="G30" s="5">
        <f>COUNTIF('Base de Dados FORMS'!$F$2:$F$147,'BD Quanti '!G2)</f>
        <v>3</v>
      </c>
      <c r="H30" s="5">
        <f t="shared" si="0"/>
        <v>75</v>
      </c>
      <c r="I30" s="5">
        <f t="shared" si="1"/>
        <v>17</v>
      </c>
      <c r="J30" s="5">
        <f t="shared" si="2"/>
        <v>92</v>
      </c>
      <c r="K30" s="29">
        <f t="shared" si="4"/>
        <v>0.81521739130434778</v>
      </c>
      <c r="L30" s="29">
        <f t="shared" si="3"/>
        <v>0.18478260869565216</v>
      </c>
    </row>
    <row r="31" spans="2:12" hidden="1" x14ac:dyDescent="0.25">
      <c r="B31" s="39" t="s">
        <v>118</v>
      </c>
      <c r="C31" s="40" t="str">
        <f>'Base de Dados FORMS'!CD1</f>
        <v>41) A Diretoria da empresa é aberta a sugestões e é fácil falar com ela.</v>
      </c>
      <c r="D31" s="41">
        <f>COUNTIF('Base de Dados FORMS'!$CD$2:$CD$147,'BD Quanti '!D2)</f>
        <v>34</v>
      </c>
      <c r="E31" s="41">
        <f>COUNTIF('Base de Dados FORMS'!$CD$2:$CD$147,'BD Quanti '!E2)</f>
        <v>46</v>
      </c>
      <c r="F31" s="41">
        <f>COUNTIF('Base de Dados FORMS'!$CD$2:$CD$147,'BD Quanti '!F2)</f>
        <v>9</v>
      </c>
      <c r="G31" s="41">
        <f>COUNTIF('Base de Dados FORMS'!$CD$2:$CD$147,'BD Quanti '!G2)</f>
        <v>3</v>
      </c>
      <c r="H31" s="41">
        <f t="shared" si="0"/>
        <v>80</v>
      </c>
      <c r="I31" s="41">
        <f t="shared" si="1"/>
        <v>12</v>
      </c>
      <c r="J31" s="41">
        <f t="shared" si="2"/>
        <v>92</v>
      </c>
      <c r="K31" s="42">
        <f t="shared" si="4"/>
        <v>0.86956521739130432</v>
      </c>
      <c r="L31" s="29">
        <f t="shared" si="3"/>
        <v>0.13043478260869565</v>
      </c>
    </row>
    <row r="32" spans="2:12" hidden="1" x14ac:dyDescent="0.25">
      <c r="B32" s="50"/>
      <c r="C32" s="52"/>
      <c r="D32" s="54"/>
      <c r="E32" s="54"/>
      <c r="F32" s="54"/>
      <c r="G32" s="54"/>
      <c r="H32" s="54"/>
      <c r="I32" s="54"/>
      <c r="J32" s="54"/>
      <c r="K32" s="57">
        <v>0.79300000000000004</v>
      </c>
      <c r="L32" s="59">
        <v>0.76923076923076927</v>
      </c>
    </row>
    <row r="33" spans="2:12" hidden="1" x14ac:dyDescent="0.25">
      <c r="B33" s="39" t="s">
        <v>119</v>
      </c>
      <c r="C33" s="40" t="str">
        <f>'Base de Dados FORMS'!BB1</f>
        <v>27) O seu líder tem uma visão clara de para onde estamos indo (futuro da empresa) e o que fazer para chegar lá.</v>
      </c>
      <c r="D33" s="41">
        <f>COUNTIF('Base de Dados FORMS'!$BB$2:$BB$147,'BD Quanti '!D2)</f>
        <v>36</v>
      </c>
      <c r="E33" s="41">
        <f>COUNTIF('Base de Dados FORMS'!$BB$2:$BB$147,'BD Quanti '!E2)</f>
        <v>45</v>
      </c>
      <c r="F33" s="41">
        <f>COUNTIF('Base de Dados FORMS'!$BB$2:$BB$147,'BD Quanti '!F2)</f>
        <v>9</v>
      </c>
      <c r="G33" s="41">
        <f>COUNTIF('Base de Dados FORMS'!$BB$2:$BB$147,'BD Quanti '!G2)</f>
        <v>2</v>
      </c>
      <c r="H33" s="41">
        <f t="shared" ref="H33:H53" si="5">D33+E33</f>
        <v>81</v>
      </c>
      <c r="I33" s="41">
        <f t="shared" ref="I33:I53" si="6">F33+G33</f>
        <v>11</v>
      </c>
      <c r="J33" s="41">
        <f t="shared" ref="J33:J53" si="7">H33+I33</f>
        <v>92</v>
      </c>
      <c r="K33" s="42">
        <f t="shared" ref="K33:K44" si="8">H33/(H33+I33)</f>
        <v>0.88043478260869568</v>
      </c>
      <c r="L33" s="29">
        <f t="shared" ref="L33:L44" si="9">I33/(H33+I33)</f>
        <v>0.11956521739130435</v>
      </c>
    </row>
    <row r="34" spans="2:12" hidden="1" x14ac:dyDescent="0.25">
      <c r="B34" s="39" t="s">
        <v>119</v>
      </c>
      <c r="C34" s="40" t="str">
        <f>'Base de Dados FORMS'!BJ1</f>
        <v>31) O seu líder sabe coordenar pessoas e distribuir tarefas adequadamente.</v>
      </c>
      <c r="D34" s="41">
        <f>COUNTIF('Base de Dados FORMS'!$BJ$2:$BJ$147,'BD Quanti '!D2)</f>
        <v>26</v>
      </c>
      <c r="E34" s="41">
        <f>COUNTIF('Base de Dados FORMS'!$BJ$2:$BJ$147,'BD Quanti '!E2)</f>
        <v>53</v>
      </c>
      <c r="F34" s="41">
        <f>COUNTIF('Base de Dados FORMS'!$BJ$2:$BJ$147,'BD Quanti '!F2)</f>
        <v>12</v>
      </c>
      <c r="G34" s="41">
        <f>COUNTIF('Base de Dados FORMS'!$BJ$2:$BJ$147,'BD Quanti '!G2)</f>
        <v>1</v>
      </c>
      <c r="H34" s="41">
        <f t="shared" si="5"/>
        <v>79</v>
      </c>
      <c r="I34" s="41">
        <f t="shared" si="6"/>
        <v>13</v>
      </c>
      <c r="J34" s="41">
        <f t="shared" si="7"/>
        <v>92</v>
      </c>
      <c r="K34" s="42">
        <f t="shared" si="8"/>
        <v>0.85869565217391308</v>
      </c>
      <c r="L34" s="29">
        <f t="shared" si="9"/>
        <v>0.14130434782608695</v>
      </c>
    </row>
    <row r="35" spans="2:12" hidden="1" x14ac:dyDescent="0.25">
      <c r="B35" s="9" t="s">
        <v>119</v>
      </c>
      <c r="C35" s="40" t="str">
        <f>'Base de Dados FORMS'!BL1</f>
        <v>32) O seu líder dá autonomia às pessoas.</v>
      </c>
      <c r="D35" s="5">
        <f>COUNTIF('Base de Dados FORMS'!$BL$2:$BL$147,'BD Quanti '!D2)</f>
        <v>30</v>
      </c>
      <c r="E35" s="5">
        <f>COUNTIF('Base de Dados FORMS'!$BL$2:$BL$147,'BD Quanti '!E2)</f>
        <v>55</v>
      </c>
      <c r="F35" s="5">
        <f>COUNTIF('Base de Dados FORMS'!$BL$2:$BL$147,'BD Quanti '!F2)</f>
        <v>7</v>
      </c>
      <c r="G35" s="5">
        <f>COUNTIF('Base de Dados FORMS'!$BL$2:$BL$147,'BD Quanti '!G2)</f>
        <v>0</v>
      </c>
      <c r="H35" s="5">
        <f t="shared" si="5"/>
        <v>85</v>
      </c>
      <c r="I35" s="5">
        <f t="shared" si="6"/>
        <v>7</v>
      </c>
      <c r="J35" s="5">
        <f t="shared" si="7"/>
        <v>92</v>
      </c>
      <c r="K35" s="29">
        <f t="shared" si="8"/>
        <v>0.92391304347826086</v>
      </c>
      <c r="L35" s="29">
        <f t="shared" si="9"/>
        <v>7.6086956521739135E-2</v>
      </c>
    </row>
    <row r="36" spans="2:12" hidden="1" x14ac:dyDescent="0.25">
      <c r="B36" s="9" t="s">
        <v>119</v>
      </c>
      <c r="C36" s="4" t="str">
        <f>'Base de Dados FORMS'!AX1</f>
        <v>25) O seu líder demonstra interesse nas ideias e sugestões que você e seus companheiros apresentam e toma ações com base nelas.</v>
      </c>
      <c r="D36" s="5">
        <f>COUNTIF('Base de Dados FORMS'!$AX$2:$AX$147,'BD Quanti '!D2)</f>
        <v>31</v>
      </c>
      <c r="E36" s="5">
        <f>COUNTIF('Base de Dados FORMS'!$AX$2:$AX$147,'BD Quanti '!E2)</f>
        <v>52</v>
      </c>
      <c r="F36" s="5">
        <f>COUNTIF('Base de Dados FORMS'!$AX$2:$AX$147,'BD Quanti '!F2)</f>
        <v>6</v>
      </c>
      <c r="G36" s="5">
        <f>COUNTIF('Base de Dados FORMS'!$AX$2:$AX$147,'BD Quanti '!G2)</f>
        <v>3</v>
      </c>
      <c r="H36" s="5">
        <f t="shared" si="5"/>
        <v>83</v>
      </c>
      <c r="I36" s="5">
        <f t="shared" si="6"/>
        <v>9</v>
      </c>
      <c r="J36" s="5">
        <f t="shared" si="7"/>
        <v>92</v>
      </c>
      <c r="K36" s="29">
        <f t="shared" si="8"/>
        <v>0.90217391304347827</v>
      </c>
      <c r="L36" s="29">
        <f t="shared" si="9"/>
        <v>9.7826086956521743E-2</v>
      </c>
    </row>
    <row r="37" spans="2:12" hidden="1" x14ac:dyDescent="0.25">
      <c r="B37" s="39" t="s">
        <v>118</v>
      </c>
      <c r="C37" s="40" t="str">
        <f>'Base de Dados FORMS'!AZ1</f>
        <v>26) O seu líder lhe mantém informado sobre assuntos importantes e sobre mudanças na empresa.</v>
      </c>
      <c r="D37" s="44">
        <f>COUNTIF('Base de Dados FORMS'!$AZ$2:$AZ$147,'BD Quanti '!D2)</f>
        <v>34</v>
      </c>
      <c r="E37" s="44">
        <f>COUNTIF('Base de Dados FORMS'!$AZ$2:$AZ$147,'BD Quanti '!E2)</f>
        <v>50</v>
      </c>
      <c r="F37" s="44">
        <f>COUNTIF('Base de Dados FORMS'!$AZ$2:$AZ$147,'BD Quanti '!F2)</f>
        <v>6</v>
      </c>
      <c r="G37" s="44">
        <f>COUNTIF('Base de Dados FORMS'!$AZ$2:$AZ$147,'BD Quanti '!G2)</f>
        <v>2</v>
      </c>
      <c r="H37" s="41">
        <f t="shared" si="5"/>
        <v>84</v>
      </c>
      <c r="I37" s="41">
        <f t="shared" si="6"/>
        <v>8</v>
      </c>
      <c r="J37" s="41">
        <f t="shared" si="7"/>
        <v>92</v>
      </c>
      <c r="K37" s="42">
        <f t="shared" si="8"/>
        <v>0.91304347826086951</v>
      </c>
      <c r="L37" s="29">
        <f t="shared" si="9"/>
        <v>8.6956521739130432E-2</v>
      </c>
    </row>
    <row r="38" spans="2:12" hidden="1" x14ac:dyDescent="0.25">
      <c r="B38" s="9" t="s">
        <v>119</v>
      </c>
      <c r="C38" s="4" t="str">
        <f>'Base de Dados FORMS'!AP1</f>
        <v>21) O seu líder demonstra interesse sincero por você como pessoa e não somente como empregado.</v>
      </c>
      <c r="D38" s="5">
        <f>COUNTIF('Base de Dados FORMS'!$AP$2:$AP$147,'BD Quanti '!D2)</f>
        <v>39</v>
      </c>
      <c r="E38" s="5">
        <f>COUNTIF('Base de Dados FORMS'!$AP$2:$AP$147,'BD Quanti '!E2)</f>
        <v>34</v>
      </c>
      <c r="F38" s="5">
        <f>COUNTIF('Base de Dados FORMS'!$AP$2:$AP$147,'BD Quanti '!F2)</f>
        <v>16</v>
      </c>
      <c r="G38" s="5">
        <f>COUNTIF('Base de Dados FORMS'!$AP$2:$AP$147,'BD Quanti '!G2)</f>
        <v>3</v>
      </c>
      <c r="H38" s="5">
        <f t="shared" si="5"/>
        <v>73</v>
      </c>
      <c r="I38" s="5">
        <f t="shared" si="6"/>
        <v>19</v>
      </c>
      <c r="J38" s="5">
        <f t="shared" si="7"/>
        <v>92</v>
      </c>
      <c r="K38" s="29">
        <f t="shared" si="8"/>
        <v>0.79347826086956519</v>
      </c>
      <c r="L38" s="29">
        <f t="shared" si="9"/>
        <v>0.20652173913043478</v>
      </c>
    </row>
    <row r="39" spans="2:12" hidden="1" x14ac:dyDescent="0.25">
      <c r="B39" s="39" t="s">
        <v>119</v>
      </c>
      <c r="C39" s="40" t="str">
        <f>'Base de Dados FORMS'!AV1</f>
        <v>24) O seu líder reconhece os erros como oportunidades de aprendizado.</v>
      </c>
      <c r="D39" s="41">
        <f>COUNTIF('Base de Dados FORMS'!$AV$2:$AV$147,'BD Quanti '!D2)</f>
        <v>21</v>
      </c>
      <c r="E39" s="41">
        <f>COUNTIF('Base de Dados FORMS'!$AV$2:$AV$147,'BD Quanti '!E2)</f>
        <v>63</v>
      </c>
      <c r="F39" s="41">
        <f>COUNTIF('Base de Dados FORMS'!$AV$2:$AV$147,'BD Quanti '!F2)</f>
        <v>8</v>
      </c>
      <c r="G39" s="41">
        <f>COUNTIF('Base de Dados FORMS'!$AV$2:$AV$147,'BD Quanti '!G2)</f>
        <v>0</v>
      </c>
      <c r="H39" s="41">
        <f t="shared" si="5"/>
        <v>84</v>
      </c>
      <c r="I39" s="41">
        <f t="shared" si="6"/>
        <v>8</v>
      </c>
      <c r="J39" s="41">
        <f t="shared" si="7"/>
        <v>92</v>
      </c>
      <c r="K39" s="42">
        <f t="shared" si="8"/>
        <v>0.91304347826086951</v>
      </c>
      <c r="L39" s="29">
        <f t="shared" si="9"/>
        <v>8.6956521739130432E-2</v>
      </c>
    </row>
    <row r="40" spans="2:12" hidden="1" x14ac:dyDescent="0.25">
      <c r="B40" s="39" t="s">
        <v>119</v>
      </c>
      <c r="C40" s="40" t="str">
        <f>'Base de Dados FORMS'!BD1</f>
        <v>28) O seu líder confia no bom trabalho das pessoas sem precisar vigiá-las.</v>
      </c>
      <c r="D40" s="41">
        <f>COUNTIF('Base de Dados FORMS'!$BD$2:$BD$147,'BD Quanti '!D2)</f>
        <v>29</v>
      </c>
      <c r="E40" s="41">
        <f>COUNTIF('Base de Dados FORMS'!$BD$2:$BD$147,'BD Quanti '!E2)</f>
        <v>47</v>
      </c>
      <c r="F40" s="41">
        <f>COUNTIF('Base de Dados FORMS'!$BD$2:$BD$147,'BD Quanti '!F2)</f>
        <v>14</v>
      </c>
      <c r="G40" s="41">
        <f>COUNTIF('Base de Dados FORMS'!$BD$2:$BD$147,'BD Quanti '!G2)</f>
        <v>2</v>
      </c>
      <c r="H40" s="41">
        <f t="shared" si="5"/>
        <v>76</v>
      </c>
      <c r="I40" s="41">
        <f t="shared" si="6"/>
        <v>16</v>
      </c>
      <c r="J40" s="41">
        <f t="shared" si="7"/>
        <v>92</v>
      </c>
      <c r="K40" s="42">
        <f t="shared" si="8"/>
        <v>0.82608695652173914</v>
      </c>
      <c r="L40" s="29">
        <f t="shared" si="9"/>
        <v>0.17391304347826086</v>
      </c>
    </row>
    <row r="41" spans="2:12" hidden="1" x14ac:dyDescent="0.25">
      <c r="B41" s="9" t="s">
        <v>121</v>
      </c>
      <c r="C41" s="4" t="str">
        <f>'Base de Dados FORMS'!AF1</f>
        <v>16) As pessoas são encorajadas a equilibrar sua vida profissional e pessoal.</v>
      </c>
      <c r="D41" s="5">
        <f>COUNTIF('Base de Dados FORMS'!$AF$2:$AF$147,'BD Quanti '!D2)</f>
        <v>19</v>
      </c>
      <c r="E41" s="5">
        <f>COUNTIF('Base de Dados FORMS'!$AF$2:$AF$147,'BD Quanti '!E2)</f>
        <v>56</v>
      </c>
      <c r="F41" s="5">
        <f>COUNTIF('Base de Dados FORMS'!$AF$2:$AF$147,'BD Quanti '!F2)</f>
        <v>14</v>
      </c>
      <c r="G41" s="5">
        <f>COUNTIF('Base de Dados FORMS'!$AF$2:$AF$147,'BD Quanti '!G2)</f>
        <v>3</v>
      </c>
      <c r="H41" s="5">
        <f t="shared" si="5"/>
        <v>75</v>
      </c>
      <c r="I41" s="5">
        <f t="shared" si="6"/>
        <v>17</v>
      </c>
      <c r="J41" s="5">
        <f t="shared" si="7"/>
        <v>92</v>
      </c>
      <c r="K41" s="35">
        <f t="shared" si="8"/>
        <v>0.81521739130434778</v>
      </c>
      <c r="L41" s="35">
        <f t="shared" si="9"/>
        <v>0.18478260869565216</v>
      </c>
    </row>
    <row r="42" spans="2:12" hidden="1" x14ac:dyDescent="0.25">
      <c r="B42" s="9" t="s">
        <v>119</v>
      </c>
      <c r="C42" s="4" t="str">
        <f>'Base de Dados FORMS'!BN1</f>
        <v>33) O seu líder age de acordo com o que fala.</v>
      </c>
      <c r="D42" s="5">
        <f>COUNTIF('Base de Dados FORMS'!$BN$2:$BN$147,'BD Quanti '!D2)</f>
        <v>21</v>
      </c>
      <c r="E42" s="5">
        <f>COUNTIF('Base de Dados FORMS'!$BN$2:$BN$147,'BD Quanti '!E2)</f>
        <v>55</v>
      </c>
      <c r="F42" s="5">
        <f>COUNTIF('Base de Dados FORMS'!$BN$2:$BN$147,'BD Quanti '!F2)</f>
        <v>14</v>
      </c>
      <c r="G42" s="5">
        <f>COUNTIF('Base de Dados FORMS'!$BN$2:$BN$147,'BD Quanti '!G2)</f>
        <v>2</v>
      </c>
      <c r="H42" s="5">
        <f t="shared" si="5"/>
        <v>76</v>
      </c>
      <c r="I42" s="5">
        <f t="shared" si="6"/>
        <v>16</v>
      </c>
      <c r="J42" s="5">
        <f t="shared" si="7"/>
        <v>92</v>
      </c>
      <c r="K42" s="29">
        <f t="shared" si="8"/>
        <v>0.82608695652173914</v>
      </c>
      <c r="L42" s="29">
        <f t="shared" si="9"/>
        <v>0.17391304347826086</v>
      </c>
    </row>
    <row r="43" spans="2:12" x14ac:dyDescent="0.25">
      <c r="B43" s="39" t="s">
        <v>117</v>
      </c>
      <c r="C43" s="40" t="str">
        <f>'Base de Dados FORMS'!BV1</f>
        <v>37) Aqui as pessoas se importam umas com as outras.</v>
      </c>
      <c r="D43" s="41">
        <f>COUNTIF('Base de Dados FORMS'!$BV$2:$BV$147,'BD Quanti '!D2)</f>
        <v>10</v>
      </c>
      <c r="E43" s="41">
        <f>COUNTIF('Base de Dados FORMS'!$BV$2:$BV$147,'BD Quanti '!E2)</f>
        <v>59</v>
      </c>
      <c r="F43" s="41">
        <f>COUNTIF('Base de Dados FORMS'!$BV$2:$BV$147,'BD Quanti '!F2)</f>
        <v>20</v>
      </c>
      <c r="G43" s="41">
        <f>COUNTIF('Base de Dados FORMS'!$BV$2:$BV$147,'BD Quanti '!G2)</f>
        <v>3</v>
      </c>
      <c r="H43" s="41">
        <f t="shared" si="5"/>
        <v>69</v>
      </c>
      <c r="I43" s="41">
        <f t="shared" si="6"/>
        <v>23</v>
      </c>
      <c r="J43" s="41">
        <f t="shared" si="7"/>
        <v>92</v>
      </c>
      <c r="K43" s="42">
        <f t="shared" si="8"/>
        <v>0.75</v>
      </c>
      <c r="L43" s="29">
        <f t="shared" si="9"/>
        <v>0.25</v>
      </c>
    </row>
    <row r="44" spans="2:12" x14ac:dyDescent="0.25">
      <c r="B44" s="39" t="s">
        <v>121</v>
      </c>
      <c r="C44" s="40" t="str">
        <f>'Base de Dados FORMS'!P1</f>
        <v>8) As pessoas aqui nesta empresa são remuneradas adequadamente em relação a outras empresas do mesmo segmento de mercado.</v>
      </c>
      <c r="D44" s="41">
        <f>COUNTIF('Base de Dados FORMS'!$P$2:$P$147,'BD Quanti '!D2)</f>
        <v>10</v>
      </c>
      <c r="E44" s="41">
        <f>COUNTIF('Base de Dados FORMS'!$P$2:$P$147,'BD Quanti '!E2)</f>
        <v>35</v>
      </c>
      <c r="F44" s="41">
        <f>COUNTIF('Base de Dados FORMS'!$P$2:$P$147,'BD Quanti '!F2)</f>
        <v>37</v>
      </c>
      <c r="G44" s="41">
        <f>COUNTIF('Base de Dados FORMS'!$P$2:$P$147,'BD Quanti '!G2)</f>
        <v>10</v>
      </c>
      <c r="H44" s="41">
        <f t="shared" si="5"/>
        <v>45</v>
      </c>
      <c r="I44" s="41">
        <f t="shared" si="6"/>
        <v>47</v>
      </c>
      <c r="J44" s="41">
        <f t="shared" si="7"/>
        <v>92</v>
      </c>
      <c r="K44" s="42">
        <f t="shared" si="8"/>
        <v>0.4891304347826087</v>
      </c>
      <c r="L44" s="29">
        <f t="shared" si="9"/>
        <v>0.51086956521739135</v>
      </c>
    </row>
    <row r="45" spans="2:12" hidden="1" x14ac:dyDescent="0.25">
      <c r="B45" s="39" t="s">
        <v>121</v>
      </c>
      <c r="C45" s="45" t="str">
        <f>'Base de Dados FORMS'!BT1</f>
        <v>36) Você alguma vez já foi humilhado pelo seu líder ou presenciou alguma humilhação.</v>
      </c>
      <c r="D45" s="46">
        <f>COUNTIF('Base de Dados FORMS'!$BT$2:$BT$147,'BD Quanti '!D2)</f>
        <v>3</v>
      </c>
      <c r="E45" s="46">
        <f>COUNTIF('Base de Dados FORMS'!$BT$2:$BT$147,'BD Quanti '!E2)</f>
        <v>13</v>
      </c>
      <c r="F45" s="46">
        <f>COUNTIF('Base de Dados FORMS'!$BT$2:$BT$147,'BD Quanti '!F2)</f>
        <v>27</v>
      </c>
      <c r="G45" s="46">
        <f>COUNTIF('Base de Dados FORMS'!$BT$2:$BT$147,'BD Quanti '!G2)</f>
        <v>49</v>
      </c>
      <c r="H45" s="46">
        <f t="shared" si="5"/>
        <v>16</v>
      </c>
      <c r="I45" s="46">
        <f t="shared" si="6"/>
        <v>76</v>
      </c>
      <c r="J45" s="41">
        <f t="shared" si="7"/>
        <v>92</v>
      </c>
      <c r="K45" s="47">
        <f>I45/(H45+I45)</f>
        <v>0.82608695652173914</v>
      </c>
      <c r="L45" s="30">
        <f>H45/(H45+I45)</f>
        <v>0.17391304347826086</v>
      </c>
    </row>
    <row r="46" spans="2:12" hidden="1" x14ac:dyDescent="0.25">
      <c r="B46" s="9" t="s">
        <v>119</v>
      </c>
      <c r="C46" s="40" t="str">
        <f>'Base de Dados FORMS'!BP1</f>
        <v>34) O seu líder dá feedback (crítica construtiva) sobre o desempenho de seu trabalho.</v>
      </c>
      <c r="D46" s="5">
        <f>COUNTIF('Base de Dados FORMS'!$BP$2:$BP$147,'BD Quanti '!D2)</f>
        <v>39</v>
      </c>
      <c r="E46" s="5">
        <f>COUNTIF('Base de Dados FORMS'!$BP$2:$BP$147,'BD Quanti '!E2)</f>
        <v>48</v>
      </c>
      <c r="F46" s="5">
        <f>COUNTIF('Base de Dados FORMS'!$BP$2:$BP$147,'BD Quanti '!F2)</f>
        <v>3</v>
      </c>
      <c r="G46" s="5">
        <f>COUNTIF('Base de Dados FORMS'!$BP$2:$BP$147,'BD Quanti '!G2)</f>
        <v>2</v>
      </c>
      <c r="H46" s="5">
        <f t="shared" si="5"/>
        <v>87</v>
      </c>
      <c r="I46" s="5">
        <f t="shared" si="6"/>
        <v>5</v>
      </c>
      <c r="J46" s="5">
        <f t="shared" si="7"/>
        <v>92</v>
      </c>
      <c r="K46" s="29">
        <f>H46/(H46+I46)</f>
        <v>0.94565217391304346</v>
      </c>
      <c r="L46" s="29">
        <f>I46/(H46+I46)</f>
        <v>5.434782608695652E-2</v>
      </c>
    </row>
    <row r="47" spans="2:12" x14ac:dyDescent="0.25">
      <c r="B47" s="39" t="s">
        <v>119</v>
      </c>
      <c r="C47" s="40" t="str">
        <f>'Base de Dados FORMS'!BF1</f>
        <v>29) O seu líder envolve as pessoas em decisões que afetam atividades e seu ambiente de trabalho.</v>
      </c>
      <c r="D47" s="41">
        <f>COUNTIF('Base de Dados FORMS'!$BF$2:$BF$147,'BD Quanti '!D2)</f>
        <v>16</v>
      </c>
      <c r="E47" s="41">
        <f>COUNTIF('Base de Dados FORMS'!$BF$2:$BF$147,'BD Quanti '!E2)</f>
        <v>52</v>
      </c>
      <c r="F47" s="41">
        <f>COUNTIF('Base de Dados FORMS'!$BF$2:$BF$147,'BD Quanti '!F2)</f>
        <v>22</v>
      </c>
      <c r="G47" s="41">
        <f>COUNTIF('Base de Dados FORMS'!$BF$2:$BF$147,'BD Quanti '!G2)</f>
        <v>2</v>
      </c>
      <c r="H47" s="41">
        <f t="shared" si="5"/>
        <v>68</v>
      </c>
      <c r="I47" s="41">
        <f t="shared" si="6"/>
        <v>24</v>
      </c>
      <c r="J47" s="41">
        <f t="shared" si="7"/>
        <v>92</v>
      </c>
      <c r="K47" s="42">
        <f>H47/(H47+I47)</f>
        <v>0.73913043478260865</v>
      </c>
      <c r="L47" s="29">
        <f>I47/(H47+I47)</f>
        <v>0.2608695652173913</v>
      </c>
    </row>
    <row r="48" spans="2:12" x14ac:dyDescent="0.25">
      <c r="B48" s="9" t="s">
        <v>119</v>
      </c>
      <c r="C48" s="40" t="str">
        <f>'Base de Dados FORMS'!BH1</f>
        <v>30) O seu líder trata todos da mesma forma, sem proteger ninguém.</v>
      </c>
      <c r="D48" s="5">
        <f>COUNTIF('Base de Dados FORMS'!$BH$2:$BH$147,'BD Quanti '!D2)</f>
        <v>21</v>
      </c>
      <c r="E48" s="5">
        <f>COUNTIF('Base de Dados FORMS'!$BH$2:$BH$147,'BD Quanti '!E2)</f>
        <v>46</v>
      </c>
      <c r="F48" s="5">
        <f>COUNTIF('Base de Dados FORMS'!$BH$2:$BH$147,'BD Quanti '!F2)</f>
        <v>24</v>
      </c>
      <c r="G48" s="5">
        <f>COUNTIF('Base de Dados FORMS'!$BH$2:$BH$147,'BD Quanti '!G2)</f>
        <v>1</v>
      </c>
      <c r="H48" s="5">
        <f t="shared" si="5"/>
        <v>67</v>
      </c>
      <c r="I48" s="5">
        <f t="shared" si="6"/>
        <v>25</v>
      </c>
      <c r="J48" s="5">
        <f t="shared" si="7"/>
        <v>92</v>
      </c>
      <c r="K48" s="29">
        <f>H48/(H48+I48)</f>
        <v>0.72826086956521741</v>
      </c>
      <c r="L48" s="29">
        <f>I48/(H48+I48)</f>
        <v>0.27173913043478259</v>
      </c>
    </row>
    <row r="49" spans="2:12" x14ac:dyDescent="0.25">
      <c r="B49" s="9" t="s">
        <v>121</v>
      </c>
      <c r="C49" s="4" t="str">
        <f>'Base de Dados FORMS'!J1</f>
        <v>5) A empresa oferece treinamentos ou oportunidades de desenvolvimento para o meu crescimento profissional.</v>
      </c>
      <c r="D49" s="5">
        <f>COUNTIF('Base de Dados FORMS'!$J$2:$J$147,'BD Quanti '!D2)</f>
        <v>15</v>
      </c>
      <c r="E49" s="5">
        <f>COUNTIF('Base de Dados FORMS'!$J$2:$J$147,'BD Quanti '!E2)</f>
        <v>52</v>
      </c>
      <c r="F49" s="5">
        <f>COUNTIF('Base de Dados FORMS'!$J$2:$J$147,'BD Quanti '!F2)</f>
        <v>22</v>
      </c>
      <c r="G49" s="5">
        <f>COUNTIF('Base de Dados FORMS'!$J$2:$J$147,'BD Quanti '!G2)</f>
        <v>3</v>
      </c>
      <c r="H49" s="5">
        <f t="shared" si="5"/>
        <v>67</v>
      </c>
      <c r="I49" s="5">
        <f t="shared" si="6"/>
        <v>25</v>
      </c>
      <c r="J49" s="5">
        <f t="shared" si="7"/>
        <v>92</v>
      </c>
      <c r="K49" s="29">
        <f>H49/(H49+I49)</f>
        <v>0.72826086956521741</v>
      </c>
      <c r="L49" s="29">
        <f>I49/(H49+I49)</f>
        <v>0.27173913043478259</v>
      </c>
    </row>
    <row r="50" spans="2:12" x14ac:dyDescent="0.25">
      <c r="B50" s="39" t="s">
        <v>121</v>
      </c>
      <c r="C50" s="45" t="str">
        <f>'Base de Dados FORMS'!CP1</f>
        <v>47) Percebo um clima de rivalidade (competição interna) aqui.</v>
      </c>
      <c r="D50" s="46">
        <f>COUNTIF('Base de Dados FORMS'!$CP$2:$CP$147,'BD Quanti '!D2)</f>
        <v>6</v>
      </c>
      <c r="E50" s="46">
        <f>COUNTIF('Base de Dados FORMS'!$CP$2:$CP$147,'BD Quanti '!E2)</f>
        <v>31</v>
      </c>
      <c r="F50" s="46">
        <f>COUNTIF('Base de Dados FORMS'!$CP$2:$CP$147,'BD Quanti '!F2)</f>
        <v>43</v>
      </c>
      <c r="G50" s="46">
        <f>COUNTIF('Base de Dados FORMS'!$CP$2:$CP$147,'BD Quanti '!G2)</f>
        <v>12</v>
      </c>
      <c r="H50" s="46">
        <f t="shared" si="5"/>
        <v>37</v>
      </c>
      <c r="I50" s="46">
        <f t="shared" si="6"/>
        <v>55</v>
      </c>
      <c r="J50" s="41">
        <f t="shared" si="7"/>
        <v>92</v>
      </c>
      <c r="K50" s="48">
        <f>I50/(H50+I50)</f>
        <v>0.59782608695652173</v>
      </c>
      <c r="L50" s="49">
        <f>H50/(H50+I50)</f>
        <v>0.40217391304347827</v>
      </c>
    </row>
    <row r="51" spans="2:12" x14ac:dyDescent="0.25">
      <c r="B51" s="39" t="s">
        <v>117</v>
      </c>
      <c r="C51" s="45" t="str">
        <f>'Base de Dados FORMS'!CB1</f>
        <v>40) As pessoas fazem “politicagem” (puxa saco) como forma de obter resultados.</v>
      </c>
      <c r="D51" s="46">
        <f>COUNTIF('Base de Dados FORMS'!$CB$2:$CB$147,'BD Quanti '!D2)</f>
        <v>8</v>
      </c>
      <c r="E51" s="46">
        <f>COUNTIF('Base de Dados FORMS'!$CB$2:$CB$147,'BD Quanti '!E2)</f>
        <v>28</v>
      </c>
      <c r="F51" s="46">
        <f>COUNTIF('Base de Dados FORMS'!$CB$2:$CB$147,'BD Quanti '!F2)</f>
        <v>49</v>
      </c>
      <c r="G51" s="46">
        <f>COUNTIF('Base de Dados FORMS'!$CB$2:$CB$147,'BD Quanti '!G2)</f>
        <v>7</v>
      </c>
      <c r="H51" s="46">
        <f t="shared" si="5"/>
        <v>36</v>
      </c>
      <c r="I51" s="46">
        <f t="shared" si="6"/>
        <v>56</v>
      </c>
      <c r="J51" s="41">
        <f t="shared" si="7"/>
        <v>92</v>
      </c>
      <c r="K51" s="47">
        <f>I51/(H51+I51)</f>
        <v>0.60869565217391308</v>
      </c>
      <c r="L51" s="30">
        <f>H51/(H51+I51)</f>
        <v>0.39130434782608697</v>
      </c>
    </row>
    <row r="52" spans="2:12" x14ac:dyDescent="0.25">
      <c r="B52" s="39" t="s">
        <v>118</v>
      </c>
      <c r="C52" s="40" t="str">
        <f>'Base de Dados FORMS'!AB1</f>
        <v>14) Existem canais de comunicação bem definidos para que os colaboradores possam expressar suas sugestões e reivindicações.</v>
      </c>
      <c r="D52" s="41">
        <f>COUNTIF('Base de Dados FORMS'!$AB$2:$AB$147,'BD Quanti '!D2)</f>
        <v>9</v>
      </c>
      <c r="E52" s="41">
        <f>COUNTIF('Base de Dados FORMS'!$AB$2:$AB$147,'BD Quanti '!E2)</f>
        <v>42</v>
      </c>
      <c r="F52" s="41">
        <f>COUNTIF('Base de Dados FORMS'!$AB$2:$AB$147,'BD Quanti '!F2)</f>
        <v>29</v>
      </c>
      <c r="G52" s="41">
        <f>COUNTIF('Base de Dados FORMS'!$AB$2:$AB$147,'BD Quanti '!G2)</f>
        <v>12</v>
      </c>
      <c r="H52" s="41">
        <f t="shared" si="5"/>
        <v>51</v>
      </c>
      <c r="I52" s="41">
        <f t="shared" si="6"/>
        <v>41</v>
      </c>
      <c r="J52" s="41">
        <f t="shared" si="7"/>
        <v>92</v>
      </c>
      <c r="K52" s="43">
        <f>H52/(H52+I52)</f>
        <v>0.55434782608695654</v>
      </c>
      <c r="L52" s="35">
        <f>I52/(H52+I52)</f>
        <v>0.44565217391304346</v>
      </c>
    </row>
    <row r="53" spans="2:12" ht="13.8" thickBot="1" x14ac:dyDescent="0.3">
      <c r="B53" s="51" t="s">
        <v>118</v>
      </c>
      <c r="C53" s="53" t="str">
        <f>'Base de Dados FORMS'!CN1</f>
        <v>46) Existe fofoca por aqui.</v>
      </c>
      <c r="D53" s="55">
        <f>COUNTIF('Base de Dados FORMS'!$CN$2:$CN$147,'BD Quanti '!D2)</f>
        <v>26</v>
      </c>
      <c r="E53" s="55">
        <f>COUNTIF('Base de Dados FORMS'!$CN$2:$CN$147,'BD Quanti '!E2)</f>
        <v>43</v>
      </c>
      <c r="F53" s="55">
        <f>COUNTIF('Base de Dados FORMS'!$CN$2:$CN$147,'BD Quanti '!F2)</f>
        <v>17</v>
      </c>
      <c r="G53" s="55">
        <f>COUNTIF('Base de Dados FORMS'!$CN$2:$CN$147,'BD Quanti '!G2)</f>
        <v>6</v>
      </c>
      <c r="H53" s="55">
        <f t="shared" si="5"/>
        <v>69</v>
      </c>
      <c r="I53" s="55">
        <f t="shared" si="6"/>
        <v>23</v>
      </c>
      <c r="J53" s="56">
        <f t="shared" si="7"/>
        <v>92</v>
      </c>
      <c r="K53" s="58">
        <f>I53/(H53+I53)</f>
        <v>0.25</v>
      </c>
      <c r="L53" s="60">
        <f>H53/(H53+I53)</f>
        <v>0.75</v>
      </c>
    </row>
  </sheetData>
  <autoFilter ref="B2:L53" xr:uid="{81E8A57D-909F-451C-8F90-986554097A0D}">
    <filterColumn colId="9">
      <filters>
        <filter val="25%"/>
        <filter val="49%"/>
        <filter val="55%"/>
        <filter val="60%"/>
        <filter val="61%"/>
        <filter val="67%"/>
        <filter val="73%"/>
        <filter val="74%"/>
        <filter val="75%"/>
      </filters>
    </filterColumn>
    <sortState xmlns:xlrd2="http://schemas.microsoft.com/office/spreadsheetml/2017/richdata2" ref="B3:L53">
      <sortCondition descending="1" ref="K2:K53"/>
    </sortState>
  </autoFilter>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51447-E5D2-46CA-A681-B0021422431A}">
  <sheetPr>
    <tabColor theme="9" tint="0.39997558519241921"/>
  </sheetPr>
  <dimension ref="B2:J79"/>
  <sheetViews>
    <sheetView showGridLines="0" tabSelected="1" topLeftCell="A40" workbookViewId="0">
      <selection activeCell="E21" sqref="E21"/>
    </sheetView>
  </sheetViews>
  <sheetFormatPr defaultColWidth="8.6640625" defaultRowHeight="13.2" outlineLevelCol="1" x14ac:dyDescent="0.25"/>
  <cols>
    <col min="1" max="1" width="4.33203125" customWidth="1"/>
    <col min="2" max="2" width="109.6640625" customWidth="1"/>
    <col min="3" max="8" width="15.6640625" hidden="1" customWidth="1" outlineLevel="1"/>
    <col min="9" max="9" width="15.6640625" style="5" customWidth="1" collapsed="1"/>
    <col min="10" max="10" width="15.6640625" customWidth="1"/>
  </cols>
  <sheetData>
    <row r="2" spans="2:10" ht="13.8" thickBot="1" x14ac:dyDescent="0.3">
      <c r="B2" s="79" t="s">
        <v>120</v>
      </c>
      <c r="C2" s="12"/>
      <c r="D2" s="12"/>
      <c r="E2" s="12"/>
      <c r="F2" s="12"/>
      <c r="G2" s="12"/>
      <c r="H2" s="12"/>
      <c r="I2" s="13"/>
      <c r="J2" s="12"/>
    </row>
    <row r="3" spans="2:10" x14ac:dyDescent="0.25">
      <c r="B3" s="7" t="s">
        <v>114</v>
      </c>
      <c r="C3" s="5" t="s">
        <v>108</v>
      </c>
      <c r="D3" s="5" t="s">
        <v>106</v>
      </c>
      <c r="E3" s="5" t="s">
        <v>107</v>
      </c>
      <c r="F3" s="5" t="s">
        <v>109</v>
      </c>
      <c r="G3" s="10" t="s">
        <v>110</v>
      </c>
      <c r="H3" s="10" t="s">
        <v>111</v>
      </c>
      <c r="I3" s="10" t="s">
        <v>112</v>
      </c>
      <c r="J3" s="10" t="s">
        <v>113</v>
      </c>
    </row>
    <row r="4" spans="2:10" x14ac:dyDescent="0.25">
      <c r="B4" s="80" t="s">
        <v>1</v>
      </c>
      <c r="C4" s="5">
        <v>36</v>
      </c>
      <c r="D4" s="5">
        <v>110</v>
      </c>
      <c r="E4" s="5">
        <v>6</v>
      </c>
      <c r="F4" s="5">
        <v>1</v>
      </c>
      <c r="G4" s="5">
        <v>146</v>
      </c>
      <c r="H4" s="5">
        <v>7</v>
      </c>
      <c r="I4" s="29">
        <f>VLOOKUP(B4,'BD Quanti '!$C$2:$L$53,9,FALSE)</f>
        <v>0.88043478260869568</v>
      </c>
      <c r="J4" s="29">
        <f>VLOOKUP(B4,'BD Quanti '!$C$2:$L$53,10,FALSE)</f>
        <v>0.11956521739130435</v>
      </c>
    </row>
    <row r="5" spans="2:10" x14ac:dyDescent="0.25">
      <c r="B5" s="80" t="s">
        <v>3</v>
      </c>
      <c r="C5" s="5">
        <v>26</v>
      </c>
      <c r="D5" s="5">
        <v>104</v>
      </c>
      <c r="E5" s="5">
        <v>21</v>
      </c>
      <c r="F5" s="5">
        <v>2</v>
      </c>
      <c r="G5" s="5">
        <v>130</v>
      </c>
      <c r="H5" s="5">
        <v>23</v>
      </c>
      <c r="I5" s="29">
        <f>VLOOKUP(B5,'BD Quanti '!$C$2:$L$53,9,FALSE)</f>
        <v>0.83695652173913049</v>
      </c>
      <c r="J5" s="29">
        <f>VLOOKUP(B5,'BD Quanti '!$C$2:$L$53,10,FALSE)</f>
        <v>0.16304347826086957</v>
      </c>
    </row>
    <row r="6" spans="2:10" x14ac:dyDescent="0.25">
      <c r="B6" s="80" t="s">
        <v>89</v>
      </c>
      <c r="C6" s="5">
        <v>46</v>
      </c>
      <c r="D6" s="5">
        <v>105</v>
      </c>
      <c r="E6" s="5">
        <v>1</v>
      </c>
      <c r="F6" s="5">
        <v>1</v>
      </c>
      <c r="G6" s="5">
        <v>151</v>
      </c>
      <c r="H6" s="5">
        <v>2</v>
      </c>
      <c r="I6" s="29">
        <f>VLOOKUP(B6,'BD Quanti '!$C$2:$L$53,9,FALSE)</f>
        <v>0.94565217391304346</v>
      </c>
      <c r="J6" s="29">
        <f>VLOOKUP(B6,'BD Quanti '!$C$2:$L$53,10,FALSE)</f>
        <v>5.434782608695652E-2</v>
      </c>
    </row>
    <row r="7" spans="2:10" ht="13.8" thickBot="1" x14ac:dyDescent="0.3">
      <c r="B7" s="12"/>
      <c r="C7" s="12"/>
      <c r="D7" s="12"/>
      <c r="E7" s="12"/>
      <c r="F7" s="12"/>
      <c r="G7" s="12"/>
      <c r="H7" s="12"/>
      <c r="I7" s="31">
        <f>AVERAGE(I4:I6)</f>
        <v>0.88768115942028991</v>
      </c>
      <c r="J7" s="20">
        <f>AVERAGE(J4:J6)</f>
        <v>0.11231884057971016</v>
      </c>
    </row>
    <row r="8" spans="2:10" x14ac:dyDescent="0.25">
      <c r="I8" s="32"/>
      <c r="J8" s="19"/>
    </row>
    <row r="9" spans="2:10" x14ac:dyDescent="0.25">
      <c r="I9" s="32"/>
      <c r="J9" s="19"/>
    </row>
    <row r="10" spans="2:10" ht="13.8" thickBot="1" x14ac:dyDescent="0.3">
      <c r="B10" s="14" t="s">
        <v>116</v>
      </c>
      <c r="C10" s="12"/>
      <c r="D10" s="12"/>
      <c r="E10" s="12"/>
      <c r="F10" s="12"/>
      <c r="G10" s="12"/>
      <c r="H10" s="12"/>
      <c r="I10" s="13"/>
      <c r="J10" s="12"/>
    </row>
    <row r="11" spans="2:10" x14ac:dyDescent="0.25">
      <c r="B11" s="10" t="s">
        <v>114</v>
      </c>
      <c r="C11" s="5" t="s">
        <v>108</v>
      </c>
      <c r="D11" s="5" t="s">
        <v>106</v>
      </c>
      <c r="E11" s="5" t="s">
        <v>107</v>
      </c>
      <c r="F11" s="5" t="s">
        <v>109</v>
      </c>
      <c r="G11" s="10" t="s">
        <v>110</v>
      </c>
      <c r="H11" s="10" t="s">
        <v>111</v>
      </c>
      <c r="I11" s="10" t="s">
        <v>112</v>
      </c>
      <c r="J11" s="10" t="s">
        <v>113</v>
      </c>
    </row>
    <row r="12" spans="2:10" x14ac:dyDescent="0.25">
      <c r="B12" s="4" t="s">
        <v>5</v>
      </c>
      <c r="C12" s="5">
        <v>18</v>
      </c>
      <c r="D12" s="5">
        <v>107</v>
      </c>
      <c r="E12" s="5">
        <v>24</v>
      </c>
      <c r="F12" s="5">
        <v>4</v>
      </c>
      <c r="G12" s="5">
        <v>125</v>
      </c>
      <c r="H12" s="5">
        <v>28</v>
      </c>
      <c r="I12" s="29">
        <f>VLOOKUP(B12,'BD Quanti '!$C$2:$L$53,9,FALSE)</f>
        <v>0.81521739130434778</v>
      </c>
      <c r="J12" s="29">
        <f>VLOOKUP(B12,'BD Quanti '!$C$2:$L$53,10,FALSE)</f>
        <v>0.18478260869565216</v>
      </c>
    </row>
    <row r="13" spans="2:10" x14ac:dyDescent="0.25">
      <c r="B13" s="4" t="s">
        <v>17</v>
      </c>
      <c r="C13" s="5">
        <v>50</v>
      </c>
      <c r="D13" s="5">
        <v>95</v>
      </c>
      <c r="E13" s="5">
        <v>6</v>
      </c>
      <c r="F13" s="5">
        <v>2</v>
      </c>
      <c r="G13" s="5">
        <v>145</v>
      </c>
      <c r="H13" s="5">
        <v>8</v>
      </c>
      <c r="I13" s="29">
        <f>VLOOKUP(B13,'BD Quanti '!$C$2:$L$53,9,FALSE)</f>
        <v>0.97826086956521741</v>
      </c>
      <c r="J13" s="29">
        <f>VLOOKUP(B13,'BD Quanti '!$C$2:$L$53,10,FALSE)</f>
        <v>2.1739130434782608E-2</v>
      </c>
    </row>
    <row r="14" spans="2:10" x14ac:dyDescent="0.25">
      <c r="B14" s="4" t="s">
        <v>21</v>
      </c>
      <c r="C14" s="5">
        <v>28</v>
      </c>
      <c r="D14" s="5">
        <v>109</v>
      </c>
      <c r="E14" s="5">
        <v>13</v>
      </c>
      <c r="F14" s="5">
        <v>3</v>
      </c>
      <c r="G14" s="5">
        <v>137</v>
      </c>
      <c r="H14" s="5">
        <v>16</v>
      </c>
      <c r="I14" s="29">
        <f>VLOOKUP(B14,'BD Quanti '!$C$2:$L$53,9,FALSE)</f>
        <v>0.92391304347826086</v>
      </c>
      <c r="J14" s="29">
        <f>VLOOKUP(B14,'BD Quanti '!$C$2:$L$53,10,FALSE)</f>
        <v>7.6086956521739135E-2</v>
      </c>
    </row>
    <row r="15" spans="2:10" x14ac:dyDescent="0.25">
      <c r="B15" s="4" t="s">
        <v>23</v>
      </c>
      <c r="C15" s="5">
        <v>21</v>
      </c>
      <c r="D15" s="5">
        <v>107</v>
      </c>
      <c r="E15" s="5">
        <v>23</v>
      </c>
      <c r="F15" s="5">
        <v>2</v>
      </c>
      <c r="G15" s="5">
        <v>128</v>
      </c>
      <c r="H15" s="5">
        <v>25</v>
      </c>
      <c r="I15" s="29">
        <f>VLOOKUP(B15,'BD Quanti '!$C$2:$L$53,9,FALSE)</f>
        <v>0.80434782608695654</v>
      </c>
      <c r="J15" s="29">
        <f>VLOOKUP(B15,'BD Quanti '!$C$2:$L$53,10,FALSE)</f>
        <v>0.19565217391304349</v>
      </c>
    </row>
    <row r="16" spans="2:10" ht="13.8" thickBot="1" x14ac:dyDescent="0.3">
      <c r="B16" s="12"/>
      <c r="C16" s="12"/>
      <c r="D16" s="12"/>
      <c r="E16" s="12"/>
      <c r="F16" s="12"/>
      <c r="G16" s="12"/>
      <c r="H16" s="12"/>
      <c r="I16" s="31">
        <f>AVERAGE(I12:I15)</f>
        <v>0.88043478260869568</v>
      </c>
      <c r="J16" s="20">
        <f>AVERAGE(J12:J15)</f>
        <v>0.11956521739130435</v>
      </c>
    </row>
    <row r="19" spans="2:10" ht="13.8" thickBot="1" x14ac:dyDescent="0.3">
      <c r="B19" s="14" t="s">
        <v>118</v>
      </c>
      <c r="C19" s="12"/>
      <c r="D19" s="12"/>
      <c r="E19" s="12"/>
      <c r="F19" s="12"/>
      <c r="G19" s="12"/>
      <c r="H19" s="12"/>
      <c r="I19" s="13"/>
      <c r="J19" s="12"/>
    </row>
    <row r="20" spans="2:10" x14ac:dyDescent="0.25">
      <c r="B20" s="10" t="s">
        <v>114</v>
      </c>
      <c r="C20" s="5" t="s">
        <v>108</v>
      </c>
      <c r="D20" s="5" t="s">
        <v>106</v>
      </c>
      <c r="E20" s="5" t="s">
        <v>107</v>
      </c>
      <c r="F20" s="5" t="s">
        <v>109</v>
      </c>
      <c r="G20" s="10" t="s">
        <v>110</v>
      </c>
      <c r="H20" s="10" t="s">
        <v>111</v>
      </c>
      <c r="I20" s="10" t="s">
        <v>112</v>
      </c>
      <c r="J20" s="10" t="s">
        <v>113</v>
      </c>
    </row>
    <row r="21" spans="2:10" x14ac:dyDescent="0.25">
      <c r="B21" s="4" t="s">
        <v>27</v>
      </c>
      <c r="C21" s="5">
        <v>25</v>
      </c>
      <c r="D21" s="5">
        <v>105</v>
      </c>
      <c r="E21" s="5">
        <v>20</v>
      </c>
      <c r="F21" s="5">
        <v>3</v>
      </c>
      <c r="G21" s="5">
        <v>130</v>
      </c>
      <c r="H21" s="5">
        <v>23</v>
      </c>
      <c r="I21" s="29">
        <f>VLOOKUP(B21,'BD Quanti '!$C$2:$L$53,9,FALSE)</f>
        <v>0.55434782608695654</v>
      </c>
      <c r="J21" s="29">
        <f>VLOOKUP(B21,'BD Quanti '!$C$2:$L$53,10,FALSE)</f>
        <v>0.44565217391304346</v>
      </c>
    </row>
    <row r="22" spans="2:10" x14ac:dyDescent="0.25">
      <c r="B22" s="4" t="s">
        <v>51</v>
      </c>
      <c r="C22" s="7">
        <v>39</v>
      </c>
      <c r="D22" s="7">
        <v>101</v>
      </c>
      <c r="E22" s="7">
        <v>9</v>
      </c>
      <c r="F22" s="7">
        <v>4</v>
      </c>
      <c r="G22" s="5">
        <v>140</v>
      </c>
      <c r="H22" s="5">
        <v>13</v>
      </c>
      <c r="I22" s="29">
        <f>VLOOKUP(B22,'BD Quanti '!$C$2:$L$53,9,FALSE)</f>
        <v>0.91304347826086951</v>
      </c>
      <c r="J22" s="29">
        <f>VLOOKUP(B22,'BD Quanti '!$C$2:$L$53,10,FALSE)</f>
        <v>8.6956521739130432E-2</v>
      </c>
    </row>
    <row r="23" spans="2:10" x14ac:dyDescent="0.25">
      <c r="B23" s="4" t="s">
        <v>81</v>
      </c>
      <c r="C23" s="5">
        <v>26</v>
      </c>
      <c r="D23" s="5">
        <v>105</v>
      </c>
      <c r="E23" s="5">
        <v>18</v>
      </c>
      <c r="F23" s="5">
        <v>4</v>
      </c>
      <c r="G23" s="5">
        <v>131</v>
      </c>
      <c r="H23" s="5">
        <v>22</v>
      </c>
      <c r="I23" s="29">
        <f>VLOOKUP(B23,'BD Quanti '!$C$2:$L$53,9,FALSE)</f>
        <v>0.86956521739130432</v>
      </c>
      <c r="J23" s="29">
        <f>VLOOKUP(B23,'BD Quanti '!$C$2:$L$53,10,FALSE)</f>
        <v>0.13043478260869565</v>
      </c>
    </row>
    <row r="24" spans="2:10" x14ac:dyDescent="0.25">
      <c r="B24" s="8" t="s">
        <v>91</v>
      </c>
      <c r="C24" s="6">
        <v>29</v>
      </c>
      <c r="D24" s="6">
        <v>81</v>
      </c>
      <c r="E24" s="6">
        <v>40</v>
      </c>
      <c r="F24" s="6">
        <v>3</v>
      </c>
      <c r="G24" s="6">
        <v>110</v>
      </c>
      <c r="H24" s="6">
        <v>43</v>
      </c>
      <c r="I24" s="29">
        <f>VLOOKUP(B24,'BD Quanti '!$C$2:$L$53,9,FALSE)</f>
        <v>0.25</v>
      </c>
      <c r="J24" s="29">
        <f>VLOOKUP(B24,'BD Quanti '!$C$2:$L$53,10,FALSE)</f>
        <v>0.75</v>
      </c>
    </row>
    <row r="25" spans="2:10" ht="13.8" thickBot="1" x14ac:dyDescent="0.3">
      <c r="B25" s="15"/>
      <c r="C25" s="16"/>
      <c r="D25" s="16"/>
      <c r="E25" s="16"/>
      <c r="F25" s="16"/>
      <c r="G25" s="16"/>
      <c r="H25" s="16"/>
      <c r="I25" s="33">
        <f>AVERAGE(I21:I24)</f>
        <v>0.64673913043478259</v>
      </c>
      <c r="J25" s="22">
        <f>AVERAGE(J21:J24)</f>
        <v>0.35326086956521741</v>
      </c>
    </row>
    <row r="26" spans="2:10" x14ac:dyDescent="0.25">
      <c r="B26" s="8"/>
      <c r="C26" s="6"/>
      <c r="D26" s="6"/>
      <c r="E26" s="6"/>
      <c r="F26" s="6"/>
      <c r="G26" s="6"/>
      <c r="H26" s="6"/>
      <c r="I26" s="30"/>
      <c r="J26" s="11"/>
    </row>
    <row r="28" spans="2:10" ht="13.8" thickBot="1" x14ac:dyDescent="0.3">
      <c r="B28" s="14" t="s">
        <v>121</v>
      </c>
      <c r="C28" s="12"/>
      <c r="D28" s="12"/>
      <c r="E28" s="12"/>
      <c r="F28" s="12"/>
      <c r="G28" s="12"/>
      <c r="H28" s="12"/>
      <c r="I28" s="13"/>
      <c r="J28" s="12"/>
    </row>
    <row r="29" spans="2:10" x14ac:dyDescent="0.25">
      <c r="B29" s="10" t="s">
        <v>114</v>
      </c>
      <c r="C29" s="5" t="s">
        <v>108</v>
      </c>
      <c r="D29" s="5" t="s">
        <v>106</v>
      </c>
      <c r="E29" s="5" t="s">
        <v>107</v>
      </c>
      <c r="F29" s="5" t="s">
        <v>109</v>
      </c>
      <c r="G29" s="10" t="s">
        <v>110</v>
      </c>
      <c r="H29" s="10" t="s">
        <v>111</v>
      </c>
      <c r="I29" s="10" t="s">
        <v>112</v>
      </c>
      <c r="J29" s="10" t="s">
        <v>113</v>
      </c>
    </row>
    <row r="30" spans="2:10" x14ac:dyDescent="0.25">
      <c r="B30" s="4" t="s">
        <v>9</v>
      </c>
      <c r="C30" s="5">
        <v>50</v>
      </c>
      <c r="D30" s="5">
        <v>97</v>
      </c>
      <c r="E30" s="5">
        <v>5</v>
      </c>
      <c r="F30" s="5">
        <v>1</v>
      </c>
      <c r="G30" s="5">
        <v>147</v>
      </c>
      <c r="H30" s="5">
        <v>6</v>
      </c>
      <c r="I30" s="29">
        <f>VLOOKUP(B30,'BD Quanti '!$C$2:$L$53,9,FALSE)</f>
        <v>0.72826086956521741</v>
      </c>
      <c r="J30" s="29">
        <f>VLOOKUP(B30,'BD Quanti '!$C$2:$L$53,10,FALSE)</f>
        <v>0.27173913043478259</v>
      </c>
    </row>
    <row r="31" spans="2:10" x14ac:dyDescent="0.25">
      <c r="B31" s="4" t="s">
        <v>11</v>
      </c>
      <c r="C31" s="5">
        <v>34</v>
      </c>
      <c r="D31" s="5">
        <v>105</v>
      </c>
      <c r="E31" s="5">
        <v>13</v>
      </c>
      <c r="F31" s="5">
        <v>1</v>
      </c>
      <c r="G31" s="5">
        <v>139</v>
      </c>
      <c r="H31" s="5">
        <v>14</v>
      </c>
      <c r="I31" s="29">
        <f>VLOOKUP(B31,'BD Quanti '!$C$2:$L$53,9,FALSE)</f>
        <v>0.85869565217391308</v>
      </c>
      <c r="J31" s="29">
        <f>VLOOKUP(B31,'BD Quanti '!$C$2:$L$53,10,FALSE)</f>
        <v>0.14130434782608695</v>
      </c>
    </row>
    <row r="32" spans="2:10" x14ac:dyDescent="0.25">
      <c r="B32" s="4" t="s">
        <v>13</v>
      </c>
      <c r="C32" s="5">
        <v>30</v>
      </c>
      <c r="D32" s="5">
        <v>99</v>
      </c>
      <c r="E32" s="5">
        <v>22</v>
      </c>
      <c r="F32" s="5">
        <v>2</v>
      </c>
      <c r="G32" s="5">
        <v>129</v>
      </c>
      <c r="H32" s="5">
        <v>24</v>
      </c>
      <c r="I32" s="29">
        <f>VLOOKUP(B32,'BD Quanti '!$C$2:$L$53,9,FALSE)</f>
        <v>0.73913043478260865</v>
      </c>
      <c r="J32" s="29">
        <f>VLOOKUP(B32,'BD Quanti '!$C$2:$L$53,10,FALSE)</f>
        <v>0.2608695652173913</v>
      </c>
    </row>
    <row r="33" spans="2:10" x14ac:dyDescent="0.25">
      <c r="B33" s="4" t="s">
        <v>15</v>
      </c>
      <c r="C33" s="5">
        <v>31</v>
      </c>
      <c r="D33" s="5">
        <v>114</v>
      </c>
      <c r="E33" s="5">
        <v>5</v>
      </c>
      <c r="F33" s="5">
        <v>3</v>
      </c>
      <c r="G33" s="5">
        <v>145</v>
      </c>
      <c r="H33" s="5">
        <v>8</v>
      </c>
      <c r="I33" s="29">
        <f>VLOOKUP(B33,'BD Quanti '!$C$2:$L$53,9,FALSE)</f>
        <v>0.4891304347826087</v>
      </c>
      <c r="J33" s="29">
        <f>VLOOKUP(B33,'BD Quanti '!$C$2:$L$53,10,FALSE)</f>
        <v>0.51086956521739135</v>
      </c>
    </row>
    <row r="34" spans="2:10" x14ac:dyDescent="0.25">
      <c r="B34" s="4" t="s">
        <v>19</v>
      </c>
      <c r="C34" s="5">
        <v>40</v>
      </c>
      <c r="D34" s="5">
        <v>101</v>
      </c>
      <c r="E34" s="5">
        <v>10</v>
      </c>
      <c r="F34" s="5">
        <v>2</v>
      </c>
      <c r="G34" s="5">
        <v>141</v>
      </c>
      <c r="H34" s="5">
        <v>12</v>
      </c>
      <c r="I34" s="29">
        <f>VLOOKUP(B34,'BD Quanti '!$C$2:$L$53,9,FALSE)</f>
        <v>0.94565217391304346</v>
      </c>
      <c r="J34" s="29">
        <f>VLOOKUP(B34,'BD Quanti '!$C$2:$L$53,10,FALSE)</f>
        <v>5.434782608695652E-2</v>
      </c>
    </row>
    <row r="35" spans="2:10" x14ac:dyDescent="0.25">
      <c r="B35" s="4" t="s">
        <v>25</v>
      </c>
      <c r="C35" s="5">
        <v>43</v>
      </c>
      <c r="D35" s="5">
        <v>105</v>
      </c>
      <c r="E35" s="5">
        <v>4</v>
      </c>
      <c r="F35" s="5">
        <v>1</v>
      </c>
      <c r="G35" s="5">
        <v>148</v>
      </c>
      <c r="H35" s="5">
        <v>5</v>
      </c>
      <c r="I35" s="29">
        <f>VLOOKUP(B35,'BD Quanti '!$C$2:$L$53,9,FALSE)</f>
        <v>0.91304347826086951</v>
      </c>
      <c r="J35" s="29">
        <f>VLOOKUP(B35,'BD Quanti '!$C$2:$L$53,10,FALSE)</f>
        <v>8.6956521739130432E-2</v>
      </c>
    </row>
    <row r="36" spans="2:10" x14ac:dyDescent="0.25">
      <c r="B36" s="4" t="s">
        <v>29</v>
      </c>
      <c r="C36" s="5">
        <v>41</v>
      </c>
      <c r="D36" s="5">
        <v>98</v>
      </c>
      <c r="E36" s="5">
        <v>11</v>
      </c>
      <c r="F36" s="5">
        <v>3</v>
      </c>
      <c r="G36" s="5">
        <v>139</v>
      </c>
      <c r="H36" s="5">
        <v>14</v>
      </c>
      <c r="I36" s="29">
        <f>VLOOKUP(B36,'BD Quanti '!$C$2:$L$53,9,FALSE)</f>
        <v>0.86956521739130432</v>
      </c>
      <c r="J36" s="29">
        <f>VLOOKUP(B36,'BD Quanti '!$C$2:$L$53,10,FALSE)</f>
        <v>0.13043478260869565</v>
      </c>
    </row>
    <row r="37" spans="2:10" x14ac:dyDescent="0.25">
      <c r="B37" s="4" t="s">
        <v>31</v>
      </c>
      <c r="C37" s="5">
        <v>24</v>
      </c>
      <c r="D37" s="5">
        <v>113</v>
      </c>
      <c r="E37" s="5">
        <v>14</v>
      </c>
      <c r="F37" s="5">
        <v>2</v>
      </c>
      <c r="G37" s="5">
        <v>137</v>
      </c>
      <c r="H37" s="5">
        <v>16</v>
      </c>
      <c r="I37" s="29">
        <f>VLOOKUP(B37,'BD Quanti '!$C$2:$L$53,9,FALSE)</f>
        <v>0.81521739130434778</v>
      </c>
      <c r="J37" s="29">
        <f>VLOOKUP(B37,'BD Quanti '!$C$2:$L$53,10,FALSE)</f>
        <v>0.18478260869565216</v>
      </c>
    </row>
    <row r="38" spans="2:10" x14ac:dyDescent="0.25">
      <c r="B38" s="4" t="s">
        <v>69</v>
      </c>
      <c r="C38" s="5">
        <v>46</v>
      </c>
      <c r="D38" s="5">
        <v>99</v>
      </c>
      <c r="E38" s="5">
        <v>7</v>
      </c>
      <c r="F38" s="5">
        <v>1</v>
      </c>
      <c r="G38" s="5">
        <v>145</v>
      </c>
      <c r="H38" s="5">
        <v>8</v>
      </c>
      <c r="I38" s="29">
        <f>VLOOKUP(B38,'BD Quanti '!$C$2:$L$53,9,FALSE)</f>
        <v>0.98913043478260865</v>
      </c>
      <c r="J38" s="29">
        <f>VLOOKUP(B38,'BD Quanti '!$C$2:$L$53,10,FALSE)</f>
        <v>1.0869565217391304E-2</v>
      </c>
    </row>
    <row r="39" spans="2:10" x14ac:dyDescent="0.25">
      <c r="B39" s="8" t="s">
        <v>71</v>
      </c>
      <c r="C39" s="6">
        <v>8</v>
      </c>
      <c r="D39" s="6">
        <v>33</v>
      </c>
      <c r="E39" s="6">
        <v>87</v>
      </c>
      <c r="F39" s="6">
        <v>25</v>
      </c>
      <c r="G39" s="6">
        <v>41</v>
      </c>
      <c r="H39" s="6">
        <v>112</v>
      </c>
      <c r="I39" s="29">
        <f>VLOOKUP(B39,'BD Quanti '!$C$2:$L$53,9,FALSE)</f>
        <v>0.82608695652173914</v>
      </c>
      <c r="J39" s="29">
        <f>VLOOKUP(B39,'BD Quanti '!$C$2:$L$53,10,FALSE)</f>
        <v>0.17391304347826086</v>
      </c>
    </row>
    <row r="40" spans="2:10" x14ac:dyDescent="0.25">
      <c r="B40" s="4" t="s">
        <v>77</v>
      </c>
      <c r="C40" s="5">
        <v>30</v>
      </c>
      <c r="D40" s="5">
        <v>85</v>
      </c>
      <c r="E40" s="5">
        <v>33</v>
      </c>
      <c r="F40" s="5">
        <v>5</v>
      </c>
      <c r="G40" s="5">
        <v>115</v>
      </c>
      <c r="H40" s="5">
        <v>38</v>
      </c>
      <c r="I40" s="29">
        <f>VLOOKUP(B40,'BD Quanti '!$C$2:$L$53,9,FALSE)</f>
        <v>0.67391304347826086</v>
      </c>
      <c r="J40" s="29">
        <f>VLOOKUP(B40,'BD Quanti '!$C$2:$L$53,10,FALSE)</f>
        <v>0.32608695652173914</v>
      </c>
    </row>
    <row r="41" spans="2:10" x14ac:dyDescent="0.25">
      <c r="B41" s="4" t="s">
        <v>83</v>
      </c>
      <c r="C41" s="5">
        <v>28</v>
      </c>
      <c r="D41" s="5">
        <v>114</v>
      </c>
      <c r="E41" s="5">
        <v>9</v>
      </c>
      <c r="F41" s="5">
        <v>2</v>
      </c>
      <c r="G41" s="5">
        <v>142</v>
      </c>
      <c r="H41" s="5">
        <v>11</v>
      </c>
      <c r="I41" s="29">
        <f>VLOOKUP(B41,'BD Quanti '!$C$2:$L$53,9,FALSE)</f>
        <v>0.92391304347826086</v>
      </c>
      <c r="J41" s="29">
        <f>VLOOKUP(B41,'BD Quanti '!$C$2:$L$53,10,FALSE)</f>
        <v>7.6086956521739135E-2</v>
      </c>
    </row>
    <row r="42" spans="2:10" x14ac:dyDescent="0.25">
      <c r="B42" s="4" t="s">
        <v>85</v>
      </c>
      <c r="C42" s="5">
        <v>42</v>
      </c>
      <c r="D42" s="5">
        <v>99</v>
      </c>
      <c r="E42" s="5">
        <v>9</v>
      </c>
      <c r="F42" s="5">
        <v>3</v>
      </c>
      <c r="G42" s="5">
        <v>141</v>
      </c>
      <c r="H42" s="5">
        <v>12</v>
      </c>
      <c r="I42" s="29">
        <f>VLOOKUP(B42,'BD Quanti '!$C$2:$L$53,9,FALSE)</f>
        <v>0.98913043478260865</v>
      </c>
      <c r="J42" s="29">
        <f>VLOOKUP(B42,'BD Quanti '!$C$2:$L$53,10,FALSE)</f>
        <v>1.0869565217391304E-2</v>
      </c>
    </row>
    <row r="43" spans="2:10" x14ac:dyDescent="0.25">
      <c r="B43" s="4" t="s">
        <v>87</v>
      </c>
      <c r="C43" s="5">
        <v>28</v>
      </c>
      <c r="D43" s="5">
        <v>109</v>
      </c>
      <c r="E43" s="5">
        <v>13</v>
      </c>
      <c r="F43" s="5">
        <v>3</v>
      </c>
      <c r="G43" s="5">
        <v>137</v>
      </c>
      <c r="H43" s="5">
        <v>16</v>
      </c>
      <c r="I43" s="29">
        <f>VLOOKUP(B43,'BD Quanti '!$C$2:$L$53,9,FALSE)</f>
        <v>0.83695652173913049</v>
      </c>
      <c r="J43" s="29">
        <f>VLOOKUP(B43,'BD Quanti '!$C$2:$L$53,10,FALSE)</f>
        <v>0.16304347826086957</v>
      </c>
    </row>
    <row r="44" spans="2:10" x14ac:dyDescent="0.25">
      <c r="B44" s="8" t="s">
        <v>93</v>
      </c>
      <c r="C44" s="6">
        <v>10</v>
      </c>
      <c r="D44" s="6">
        <v>72</v>
      </c>
      <c r="E44" s="6">
        <v>67</v>
      </c>
      <c r="F44" s="6">
        <v>4</v>
      </c>
      <c r="G44" s="6">
        <v>82</v>
      </c>
      <c r="H44" s="6">
        <v>71</v>
      </c>
      <c r="I44" s="29">
        <f>VLOOKUP(B44,'BD Quanti '!$C$2:$L$53,9,FALSE)</f>
        <v>0.59782608695652173</v>
      </c>
      <c r="J44" s="29">
        <f>VLOOKUP(B44,'BD Quanti '!$C$2:$L$53,10,FALSE)</f>
        <v>0.40217391304347827</v>
      </c>
    </row>
    <row r="45" spans="2:10" x14ac:dyDescent="0.25">
      <c r="B45" s="4" t="s">
        <v>95</v>
      </c>
      <c r="C45" s="5">
        <v>53</v>
      </c>
      <c r="D45" s="5">
        <v>86</v>
      </c>
      <c r="E45" s="5">
        <v>13</v>
      </c>
      <c r="F45" s="5">
        <v>1</v>
      </c>
      <c r="G45" s="5">
        <v>139</v>
      </c>
      <c r="H45" s="5">
        <v>14</v>
      </c>
      <c r="I45" s="29">
        <f>VLOOKUP(B45,'BD Quanti '!$C$2:$L$53,9,FALSE)</f>
        <v>0.84782608695652173</v>
      </c>
      <c r="J45" s="29">
        <f>VLOOKUP(B45,'BD Quanti '!$C$2:$L$53,10,FALSE)</f>
        <v>0.15217391304347827</v>
      </c>
    </row>
    <row r="46" spans="2:10" x14ac:dyDescent="0.25">
      <c r="B46" s="4" t="s">
        <v>97</v>
      </c>
      <c r="C46" s="5">
        <v>23</v>
      </c>
      <c r="D46" s="5">
        <v>103</v>
      </c>
      <c r="E46" s="5">
        <v>25</v>
      </c>
      <c r="F46" s="5">
        <v>2</v>
      </c>
      <c r="G46" s="5">
        <v>126</v>
      </c>
      <c r="H46" s="5">
        <v>27</v>
      </c>
      <c r="I46" s="29">
        <f>VLOOKUP(B46,'BD Quanti '!$C$2:$L$53,9,FALSE)</f>
        <v>0.81521739130434778</v>
      </c>
      <c r="J46" s="29">
        <f>VLOOKUP(B46,'BD Quanti '!$C$2:$L$53,10,FALSE)</f>
        <v>0.18478260869565216</v>
      </c>
    </row>
    <row r="47" spans="2:10" x14ac:dyDescent="0.25">
      <c r="B47" s="4" t="s">
        <v>99</v>
      </c>
      <c r="C47" s="5">
        <v>49</v>
      </c>
      <c r="D47" s="5">
        <v>97</v>
      </c>
      <c r="E47" s="5">
        <v>6</v>
      </c>
      <c r="F47" s="5">
        <v>1</v>
      </c>
      <c r="G47" s="5">
        <v>146</v>
      </c>
      <c r="H47" s="5">
        <v>7</v>
      </c>
      <c r="I47" s="29">
        <f>VLOOKUP(B47,'BD Quanti '!$C$2:$L$53,9,FALSE)</f>
        <v>0.86956521739130432</v>
      </c>
      <c r="J47" s="29">
        <f>VLOOKUP(B47,'BD Quanti '!$C$2:$L$53,10,FALSE)</f>
        <v>0.13043478260869565</v>
      </c>
    </row>
    <row r="48" spans="2:10" ht="13.8" thickBot="1" x14ac:dyDescent="0.3">
      <c r="B48" s="21"/>
      <c r="C48" s="13"/>
      <c r="D48" s="13"/>
      <c r="E48" s="13"/>
      <c r="F48" s="13"/>
      <c r="G48" s="13"/>
      <c r="H48" s="13"/>
      <c r="I48" s="34">
        <f>AVERAGE(I30:I47)</f>
        <v>0.81823671497584549</v>
      </c>
      <c r="J48" s="18">
        <f>AVERAGE(J30:J47)</f>
        <v>0.18176328502415459</v>
      </c>
    </row>
    <row r="49" spans="2:10" x14ac:dyDescent="0.25">
      <c r="B49" s="4"/>
      <c r="C49" s="5"/>
      <c r="D49" s="5"/>
      <c r="E49" s="5"/>
      <c r="F49" s="5"/>
      <c r="G49" s="5"/>
      <c r="H49" s="5"/>
      <c r="I49" s="35"/>
      <c r="J49" s="17"/>
    </row>
    <row r="51" spans="2:10" ht="13.8" thickBot="1" x14ac:dyDescent="0.3">
      <c r="B51" s="14" t="s">
        <v>119</v>
      </c>
      <c r="C51" s="12"/>
      <c r="D51" s="12"/>
      <c r="E51" s="12"/>
      <c r="F51" s="12"/>
      <c r="G51" s="12"/>
      <c r="H51" s="12"/>
      <c r="I51" s="13"/>
      <c r="J51" s="12"/>
    </row>
    <row r="52" spans="2:10" x14ac:dyDescent="0.25">
      <c r="B52" s="10" t="s">
        <v>114</v>
      </c>
      <c r="C52" s="5" t="s">
        <v>108</v>
      </c>
      <c r="D52" s="5" t="s">
        <v>106</v>
      </c>
      <c r="E52" s="5" t="s">
        <v>107</v>
      </c>
      <c r="F52" s="5" t="s">
        <v>109</v>
      </c>
      <c r="G52" s="10" t="s">
        <v>110</v>
      </c>
      <c r="H52" s="10" t="s">
        <v>111</v>
      </c>
      <c r="I52" s="10" t="s">
        <v>112</v>
      </c>
      <c r="J52" s="10" t="s">
        <v>113</v>
      </c>
    </row>
    <row r="53" spans="2:10" x14ac:dyDescent="0.25">
      <c r="B53" s="4" t="s">
        <v>33</v>
      </c>
      <c r="C53" s="5">
        <v>55</v>
      </c>
      <c r="D53" s="5">
        <v>94</v>
      </c>
      <c r="E53" s="5">
        <v>2</v>
      </c>
      <c r="F53" s="5">
        <v>2</v>
      </c>
      <c r="G53" s="5">
        <v>149</v>
      </c>
      <c r="H53" s="5">
        <v>4</v>
      </c>
      <c r="I53" s="29">
        <f>VLOOKUP(B53,'BD Quanti '!$C$2:$L$53,9,FALSE)</f>
        <v>0.95652173913043481</v>
      </c>
      <c r="J53" s="29">
        <f>VLOOKUP(B53,'BD Quanti '!$C$2:$L$53,10,FALSE)</f>
        <v>4.3478260869565216E-2</v>
      </c>
    </row>
    <row r="54" spans="2:10" x14ac:dyDescent="0.25">
      <c r="B54" s="4" t="s">
        <v>35</v>
      </c>
      <c r="C54" s="5">
        <v>48</v>
      </c>
      <c r="D54" s="5">
        <v>191</v>
      </c>
      <c r="E54" s="5">
        <v>9</v>
      </c>
      <c r="F54" s="5">
        <v>3</v>
      </c>
      <c r="G54" s="5">
        <v>239</v>
      </c>
      <c r="H54" s="5">
        <v>12</v>
      </c>
      <c r="I54" s="29">
        <f>VLOOKUP(B54,'BD Quanti '!$C$2:$L$53,9,FALSE)</f>
        <v>0.87096774193548387</v>
      </c>
      <c r="J54" s="29">
        <f>VLOOKUP(B54,'BD Quanti '!$C$2:$L$53,10,FALSE)</f>
        <v>0.12903225806451613</v>
      </c>
    </row>
    <row r="55" spans="2:10" x14ac:dyDescent="0.25">
      <c r="B55" s="4" t="s">
        <v>37</v>
      </c>
      <c r="C55" s="5">
        <v>48</v>
      </c>
      <c r="D55" s="5">
        <v>102</v>
      </c>
      <c r="E55" s="5">
        <v>2</v>
      </c>
      <c r="F55" s="5">
        <v>1</v>
      </c>
      <c r="G55" s="5">
        <v>150</v>
      </c>
      <c r="H55" s="5">
        <v>3</v>
      </c>
      <c r="I55" s="29">
        <f>VLOOKUP(B55,'BD Quanti '!$C$2:$L$53,9,FALSE)</f>
        <v>0.92391304347826086</v>
      </c>
      <c r="J55" s="29">
        <f>VLOOKUP(B55,'BD Quanti '!$C$2:$L$53,10,FALSE)</f>
        <v>7.6086956521739135E-2</v>
      </c>
    </row>
    <row r="56" spans="2:10" x14ac:dyDescent="0.25">
      <c r="B56" s="4" t="s">
        <v>39</v>
      </c>
      <c r="C56" s="5">
        <v>48</v>
      </c>
      <c r="D56" s="5">
        <v>100</v>
      </c>
      <c r="E56" s="5">
        <v>3</v>
      </c>
      <c r="F56" s="5">
        <v>2</v>
      </c>
      <c r="G56" s="5">
        <v>148</v>
      </c>
      <c r="H56" s="5">
        <v>5</v>
      </c>
      <c r="I56" s="29">
        <f>VLOOKUP(B56,'BD Quanti '!$C$2:$L$53,9,FALSE)</f>
        <v>0.95652173913043481</v>
      </c>
      <c r="J56" s="29">
        <f>VLOOKUP(B56,'BD Quanti '!$C$2:$L$53,10,FALSE)</f>
        <v>4.3478260869565216E-2</v>
      </c>
    </row>
    <row r="57" spans="2:10" x14ac:dyDescent="0.25">
      <c r="B57" s="4" t="s">
        <v>41</v>
      </c>
      <c r="C57" s="5">
        <v>37</v>
      </c>
      <c r="D57" s="5">
        <v>104</v>
      </c>
      <c r="E57" s="5">
        <v>8</v>
      </c>
      <c r="F57" s="5">
        <v>4</v>
      </c>
      <c r="G57" s="5">
        <v>141</v>
      </c>
      <c r="H57" s="5">
        <v>12</v>
      </c>
      <c r="I57" s="29">
        <f>VLOOKUP(B57,'BD Quanti '!$C$2:$L$53,9,FALSE)</f>
        <v>0.79347826086956519</v>
      </c>
      <c r="J57" s="29">
        <f>VLOOKUP(B57,'BD Quanti '!$C$2:$L$53,10,FALSE)</f>
        <v>0.20652173913043478</v>
      </c>
    </row>
    <row r="58" spans="2:10" x14ac:dyDescent="0.25">
      <c r="B58" s="4" t="s">
        <v>43</v>
      </c>
      <c r="C58" s="5">
        <v>47</v>
      </c>
      <c r="D58" s="5">
        <v>99</v>
      </c>
      <c r="E58" s="5">
        <v>6</v>
      </c>
      <c r="F58" s="5">
        <v>1</v>
      </c>
      <c r="G58" s="5">
        <v>146</v>
      </c>
      <c r="H58" s="5">
        <v>7</v>
      </c>
      <c r="I58" s="29">
        <f>VLOOKUP(B58,'BD Quanti '!$C$2:$L$53,9,FALSE)</f>
        <v>0.97826086956521741</v>
      </c>
      <c r="J58" s="29">
        <f>VLOOKUP(B58,'BD Quanti '!$C$2:$L$53,10,FALSE)</f>
        <v>2.1739130434782608E-2</v>
      </c>
    </row>
    <row r="59" spans="2:10" x14ac:dyDescent="0.25">
      <c r="B59" s="4" t="s">
        <v>45</v>
      </c>
      <c r="C59" s="5">
        <v>37</v>
      </c>
      <c r="D59" s="5">
        <v>103</v>
      </c>
      <c r="E59" s="5">
        <v>12</v>
      </c>
      <c r="F59" s="5">
        <v>1</v>
      </c>
      <c r="G59" s="5">
        <v>140</v>
      </c>
      <c r="H59" s="5">
        <v>13</v>
      </c>
      <c r="I59" s="29">
        <f>VLOOKUP(B59,'BD Quanti '!$C$2:$L$53,9,FALSE)</f>
        <v>0.80434782608695654</v>
      </c>
      <c r="J59" s="29">
        <f>VLOOKUP(B59,'BD Quanti '!$C$2:$L$53,10,FALSE)</f>
        <v>0.19565217391304349</v>
      </c>
    </row>
    <row r="60" spans="2:10" x14ac:dyDescent="0.25">
      <c r="B60" s="4" t="s">
        <v>47</v>
      </c>
      <c r="C60" s="5">
        <v>33</v>
      </c>
      <c r="D60" s="5">
        <v>109</v>
      </c>
      <c r="E60" s="5">
        <v>8</v>
      </c>
      <c r="F60" s="5">
        <v>3</v>
      </c>
      <c r="G60" s="5">
        <v>142</v>
      </c>
      <c r="H60" s="5">
        <v>11</v>
      </c>
      <c r="I60" s="29">
        <f>VLOOKUP(B60,'BD Quanti '!$C$2:$L$53,9,FALSE)</f>
        <v>0.91304347826086951</v>
      </c>
      <c r="J60" s="29">
        <f>VLOOKUP(B60,'BD Quanti '!$C$2:$L$53,10,FALSE)</f>
        <v>8.6956521739130432E-2</v>
      </c>
    </row>
    <row r="61" spans="2:10" x14ac:dyDescent="0.25">
      <c r="B61" s="4" t="s">
        <v>49</v>
      </c>
      <c r="C61" s="5">
        <v>32</v>
      </c>
      <c r="D61" s="5">
        <v>104</v>
      </c>
      <c r="E61" s="5">
        <v>14</v>
      </c>
      <c r="F61" s="5">
        <v>3</v>
      </c>
      <c r="G61" s="5">
        <v>136</v>
      </c>
      <c r="H61" s="5">
        <v>17</v>
      </c>
      <c r="I61" s="29">
        <f>VLOOKUP(B61,'BD Quanti '!$C$2:$L$53,9,FALSE)</f>
        <v>0.90217391304347827</v>
      </c>
      <c r="J61" s="29">
        <f>VLOOKUP(B61,'BD Quanti '!$C$2:$L$53,10,FALSE)</f>
        <v>9.7826086956521743E-2</v>
      </c>
    </row>
    <row r="62" spans="2:10" x14ac:dyDescent="0.25">
      <c r="B62" s="4" t="s">
        <v>53</v>
      </c>
      <c r="C62" s="5">
        <v>34</v>
      </c>
      <c r="D62" s="5">
        <v>110</v>
      </c>
      <c r="E62" s="5">
        <v>7</v>
      </c>
      <c r="F62" s="5">
        <v>2</v>
      </c>
      <c r="G62" s="5">
        <v>144</v>
      </c>
      <c r="H62" s="5">
        <v>9</v>
      </c>
      <c r="I62" s="29">
        <f>VLOOKUP(B62,'BD Quanti '!$C$2:$L$53,9,FALSE)</f>
        <v>0.88043478260869568</v>
      </c>
      <c r="J62" s="29">
        <f>VLOOKUP(B62,'BD Quanti '!$C$2:$L$53,10,FALSE)</f>
        <v>0.11956521739130435</v>
      </c>
    </row>
    <row r="63" spans="2:10" x14ac:dyDescent="0.25">
      <c r="B63" s="4" t="s">
        <v>55</v>
      </c>
      <c r="C63" s="5">
        <v>34</v>
      </c>
      <c r="D63" s="5">
        <v>103</v>
      </c>
      <c r="E63" s="5">
        <v>13</v>
      </c>
      <c r="F63" s="5">
        <v>3</v>
      </c>
      <c r="G63" s="5">
        <v>137</v>
      </c>
      <c r="H63" s="5">
        <v>16</v>
      </c>
      <c r="I63" s="29">
        <f>VLOOKUP(B63,'BD Quanti '!$C$2:$L$53,9,FALSE)</f>
        <v>0.82608695652173914</v>
      </c>
      <c r="J63" s="29">
        <f>VLOOKUP(B63,'BD Quanti '!$C$2:$L$53,10,FALSE)</f>
        <v>0.17391304347826086</v>
      </c>
    </row>
    <row r="64" spans="2:10" x14ac:dyDescent="0.25">
      <c r="B64" s="4" t="s">
        <v>57</v>
      </c>
      <c r="C64" s="5">
        <v>13</v>
      </c>
      <c r="D64" s="5">
        <v>90</v>
      </c>
      <c r="E64" s="5">
        <v>47</v>
      </c>
      <c r="F64" s="5">
        <v>3</v>
      </c>
      <c r="G64" s="5">
        <v>103</v>
      </c>
      <c r="H64" s="5">
        <v>50</v>
      </c>
      <c r="I64" s="29">
        <f>VLOOKUP(B64,'BD Quanti '!$C$2:$L$53,9,FALSE)</f>
        <v>0.73913043478260865</v>
      </c>
      <c r="J64" s="29">
        <f>VLOOKUP(B64,'BD Quanti '!$C$2:$L$53,10,FALSE)</f>
        <v>0.2608695652173913</v>
      </c>
    </row>
    <row r="65" spans="2:10" x14ac:dyDescent="0.25">
      <c r="B65" s="4" t="s">
        <v>59</v>
      </c>
      <c r="C65" s="5">
        <v>33</v>
      </c>
      <c r="D65" s="5">
        <v>95</v>
      </c>
      <c r="E65" s="5">
        <v>22</v>
      </c>
      <c r="F65" s="5">
        <v>3</v>
      </c>
      <c r="G65" s="5">
        <v>128</v>
      </c>
      <c r="H65" s="5">
        <v>25</v>
      </c>
      <c r="I65" s="29">
        <f>VLOOKUP(B65,'BD Quanti '!$C$2:$L$53,9,FALSE)</f>
        <v>0.72826086956521741</v>
      </c>
      <c r="J65" s="29">
        <f>VLOOKUP(B65,'BD Quanti '!$C$2:$L$53,10,FALSE)</f>
        <v>0.27173913043478259</v>
      </c>
    </row>
    <row r="66" spans="2:10" x14ac:dyDescent="0.25">
      <c r="B66" s="4" t="s">
        <v>61</v>
      </c>
      <c r="C66" s="5">
        <v>35</v>
      </c>
      <c r="D66" s="5">
        <v>109</v>
      </c>
      <c r="E66" s="5">
        <v>7</v>
      </c>
      <c r="F66" s="5">
        <v>2</v>
      </c>
      <c r="G66" s="5">
        <v>144</v>
      </c>
      <c r="H66" s="5">
        <v>9</v>
      </c>
      <c r="I66" s="29">
        <f>VLOOKUP(B66,'BD Quanti '!$C$2:$L$53,9,FALSE)</f>
        <v>0.85869565217391308</v>
      </c>
      <c r="J66" s="29">
        <f>VLOOKUP(B66,'BD Quanti '!$C$2:$L$53,10,FALSE)</f>
        <v>0.14130434782608695</v>
      </c>
    </row>
    <row r="67" spans="2:10" x14ac:dyDescent="0.25">
      <c r="B67" s="4" t="s">
        <v>63</v>
      </c>
      <c r="C67" s="5">
        <v>20</v>
      </c>
      <c r="D67" s="5">
        <v>115</v>
      </c>
      <c r="E67" s="5">
        <v>17</v>
      </c>
      <c r="F67" s="5">
        <v>1</v>
      </c>
      <c r="G67" s="5">
        <v>135</v>
      </c>
      <c r="H67" s="5">
        <v>18</v>
      </c>
      <c r="I67" s="29">
        <f>VLOOKUP(B67,'BD Quanti '!$C$2:$L$53,9,FALSE)</f>
        <v>0.92391304347826086</v>
      </c>
      <c r="J67" s="29">
        <f>VLOOKUP(B67,'BD Quanti '!$C$2:$L$53,10,FALSE)</f>
        <v>7.6086956521739135E-2</v>
      </c>
    </row>
    <row r="68" spans="2:10" x14ac:dyDescent="0.25">
      <c r="B68" s="4" t="s">
        <v>65</v>
      </c>
      <c r="C68" s="5">
        <v>32</v>
      </c>
      <c r="D68" s="5">
        <v>110</v>
      </c>
      <c r="E68" s="5">
        <v>9</v>
      </c>
      <c r="F68" s="5">
        <v>2</v>
      </c>
      <c r="G68" s="5">
        <v>142</v>
      </c>
      <c r="H68" s="5">
        <v>11</v>
      </c>
      <c r="I68" s="29">
        <f>VLOOKUP(B68,'BD Quanti '!$C$2:$L$53,9,FALSE)</f>
        <v>0.82608695652173914</v>
      </c>
      <c r="J68" s="29">
        <f>VLOOKUP(B68,'BD Quanti '!$C$2:$L$53,10,FALSE)</f>
        <v>0.17391304347826086</v>
      </c>
    </row>
    <row r="69" spans="2:10" x14ac:dyDescent="0.25">
      <c r="B69" s="4" t="s">
        <v>67</v>
      </c>
      <c r="C69" s="5">
        <v>36</v>
      </c>
      <c r="D69" s="5">
        <v>98</v>
      </c>
      <c r="E69" s="5">
        <v>15</v>
      </c>
      <c r="F69" s="5">
        <v>4</v>
      </c>
      <c r="G69" s="5">
        <v>134</v>
      </c>
      <c r="H69" s="5">
        <v>19</v>
      </c>
      <c r="I69" s="29">
        <f>VLOOKUP(B69,'BD Quanti '!$C$2:$L$53,9,FALSE)</f>
        <v>0.94565217391304346</v>
      </c>
      <c r="J69" s="29">
        <f>VLOOKUP(B69,'BD Quanti '!$C$2:$L$53,10,FALSE)</f>
        <v>5.434782608695652E-2</v>
      </c>
    </row>
    <row r="70" spans="2:10" ht="13.8" thickBot="1" x14ac:dyDescent="0.3">
      <c r="B70" s="12"/>
      <c r="C70" s="12"/>
      <c r="D70" s="12"/>
      <c r="E70" s="12"/>
      <c r="F70" s="12"/>
      <c r="G70" s="12"/>
      <c r="H70" s="12"/>
      <c r="I70" s="31">
        <f>AVERAGE(I53:I69)</f>
        <v>0.87220526359211281</v>
      </c>
      <c r="J70" s="20">
        <f>AVERAGE(J53:J69)</f>
        <v>0.12779473640788713</v>
      </c>
    </row>
    <row r="73" spans="2:10" ht="13.8" thickBot="1" x14ac:dyDescent="0.3">
      <c r="B73" s="14" t="s">
        <v>117</v>
      </c>
      <c r="C73" s="12"/>
      <c r="D73" s="12"/>
      <c r="E73" s="12"/>
      <c r="F73" s="12"/>
      <c r="G73" s="12"/>
      <c r="H73" s="12"/>
      <c r="I73" s="13"/>
      <c r="J73" s="12"/>
    </row>
    <row r="74" spans="2:10" x14ac:dyDescent="0.25">
      <c r="B74" s="10" t="s">
        <v>114</v>
      </c>
      <c r="C74" s="5" t="s">
        <v>108</v>
      </c>
      <c r="D74" s="5" t="s">
        <v>106</v>
      </c>
      <c r="E74" s="5" t="s">
        <v>107</v>
      </c>
      <c r="F74" s="5" t="s">
        <v>109</v>
      </c>
      <c r="G74" s="10" t="s">
        <v>110</v>
      </c>
      <c r="H74" s="10" t="s">
        <v>111</v>
      </c>
      <c r="I74" s="10" t="s">
        <v>112</v>
      </c>
      <c r="J74" s="10" t="s">
        <v>113</v>
      </c>
    </row>
    <row r="75" spans="2:10" x14ac:dyDescent="0.25">
      <c r="B75" s="4" t="s">
        <v>7</v>
      </c>
      <c r="C75" s="5">
        <v>18</v>
      </c>
      <c r="D75" s="5">
        <v>115</v>
      </c>
      <c r="E75" s="5">
        <v>18</v>
      </c>
      <c r="F75" s="5">
        <v>2</v>
      </c>
      <c r="G75" s="5">
        <v>133</v>
      </c>
      <c r="H75" s="5">
        <v>20</v>
      </c>
      <c r="I75" s="29">
        <f>VLOOKUP(B75,'BD Quanti '!$C$2:$L$53,9,FALSE)</f>
        <v>0.86956521739130432</v>
      </c>
      <c r="J75" s="29">
        <f>VLOOKUP(B75,'BD Quanti '!$C$2:$L$53,10,FALSE)</f>
        <v>0.13043478260869565</v>
      </c>
    </row>
    <row r="76" spans="2:10" x14ac:dyDescent="0.25">
      <c r="B76" s="4" t="s">
        <v>73</v>
      </c>
      <c r="C76" s="5">
        <v>8</v>
      </c>
      <c r="D76" s="5">
        <v>107</v>
      </c>
      <c r="E76" s="5">
        <v>31</v>
      </c>
      <c r="F76" s="5">
        <v>7</v>
      </c>
      <c r="G76" s="5">
        <v>115</v>
      </c>
      <c r="H76" s="5">
        <v>38</v>
      </c>
      <c r="I76" s="29">
        <f>VLOOKUP(B76,'BD Quanti '!$C$2:$L$53,9,FALSE)</f>
        <v>0.75</v>
      </c>
      <c r="J76" s="29">
        <f>VLOOKUP(B76,'BD Quanti '!$C$2:$L$53,10,FALSE)</f>
        <v>0.25</v>
      </c>
    </row>
    <row r="77" spans="2:10" x14ac:dyDescent="0.25">
      <c r="B77" s="4" t="s">
        <v>75</v>
      </c>
      <c r="C77" s="5">
        <v>19</v>
      </c>
      <c r="D77" s="5">
        <v>113</v>
      </c>
      <c r="E77" s="5">
        <v>19</v>
      </c>
      <c r="F77" s="5">
        <v>2</v>
      </c>
      <c r="G77" s="5">
        <v>132</v>
      </c>
      <c r="H77" s="5">
        <v>21</v>
      </c>
      <c r="I77" s="29">
        <f>VLOOKUP(B77,'BD Quanti '!$C$2:$L$53,9,FALSE)</f>
        <v>0.85869565217391308</v>
      </c>
      <c r="J77" s="29">
        <f>VLOOKUP(B77,'BD Quanti '!$C$2:$L$53,10,FALSE)</f>
        <v>0.14130434782608695</v>
      </c>
    </row>
    <row r="78" spans="2:10" x14ac:dyDescent="0.25">
      <c r="B78" s="8" t="s">
        <v>79</v>
      </c>
      <c r="C78" s="6">
        <v>8</v>
      </c>
      <c r="D78" s="6">
        <v>62</v>
      </c>
      <c r="E78" s="6">
        <v>76</v>
      </c>
      <c r="F78" s="6">
        <v>7</v>
      </c>
      <c r="G78" s="6">
        <v>70</v>
      </c>
      <c r="H78" s="6">
        <v>83</v>
      </c>
      <c r="I78" s="29">
        <f>VLOOKUP(B78,'BD Quanti '!$C$2:$L$53,9,FALSE)</f>
        <v>0.60869565217391308</v>
      </c>
      <c r="J78" s="29">
        <f>VLOOKUP(B78,'BD Quanti '!$C$2:$L$53,10,FALSE)</f>
        <v>0.39130434782608697</v>
      </c>
    </row>
    <row r="79" spans="2:10" ht="13.8" thickBot="1" x14ac:dyDescent="0.3">
      <c r="B79" s="12"/>
      <c r="C79" s="12"/>
      <c r="D79" s="12"/>
      <c r="E79" s="12"/>
      <c r="F79" s="12"/>
      <c r="G79" s="12"/>
      <c r="H79" s="12"/>
      <c r="I79" s="31">
        <f>AVERAGE(I75:I78)</f>
        <v>0.77173913043478259</v>
      </c>
      <c r="J79" s="20">
        <f>AVERAGE(J75:J78)</f>
        <v>0.22826086956521741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FA1A-E44D-4616-B2E3-79EB62F709F1}">
  <sheetPr>
    <tabColor theme="1"/>
  </sheetPr>
  <dimension ref="A2:C53"/>
  <sheetViews>
    <sheetView showGridLines="0" topLeftCell="B1" zoomScale="115" zoomScaleNormal="115" workbookViewId="0">
      <selection activeCell="C19" sqref="C19"/>
    </sheetView>
  </sheetViews>
  <sheetFormatPr defaultColWidth="8.6640625" defaultRowHeight="13.2" x14ac:dyDescent="0.25"/>
  <cols>
    <col min="1" max="1" width="24" customWidth="1"/>
    <col min="2" max="2" width="111.5546875" customWidth="1"/>
    <col min="3" max="3" width="54" style="101" customWidth="1"/>
  </cols>
  <sheetData>
    <row r="2" spans="1:3" ht="13.8" thickBot="1" x14ac:dyDescent="0.3">
      <c r="A2" s="26" t="s">
        <v>115</v>
      </c>
      <c r="B2" s="27" t="s">
        <v>114</v>
      </c>
      <c r="C2" s="103" t="s">
        <v>1490</v>
      </c>
    </row>
    <row r="3" spans="1:3" s="88" customFormat="1" ht="19.2" customHeight="1" x14ac:dyDescent="0.25">
      <c r="A3" s="99" t="s">
        <v>120</v>
      </c>
      <c r="B3" s="91" t="str">
        <f>'Base de Dados FORMS'!B1</f>
        <v>1) Este é um lugar (ambiente físico) agradável para trabalhar.</v>
      </c>
      <c r="C3" s="104" t="s">
        <v>1489</v>
      </c>
    </row>
    <row r="4" spans="1:3" s="88" customFormat="1" x14ac:dyDescent="0.25">
      <c r="A4" s="99" t="s">
        <v>120</v>
      </c>
      <c r="B4" s="91" t="s">
        <v>89</v>
      </c>
      <c r="C4" s="105"/>
    </row>
    <row r="5" spans="1:3" s="88" customFormat="1" x14ac:dyDescent="0.25">
      <c r="A5" s="99" t="s">
        <v>120</v>
      </c>
      <c r="B5" s="89" t="str">
        <f>'Base de Dados FORMS'!D1</f>
        <v>2) Eu recebo os equipamentos e recursos necessários para realizar o meu trabalho.</v>
      </c>
      <c r="C5" s="102"/>
    </row>
    <row r="6" spans="1:3" s="88" customFormat="1" x14ac:dyDescent="0.25">
      <c r="A6" s="99" t="s">
        <v>116</v>
      </c>
      <c r="B6" s="89" t="str">
        <f>'Base de Dados FORMS'!F1</f>
        <v>3) As pessoas aqui estão dispostas a fazer um pouco além da sua obrigação para concluir um trabalho.</v>
      </c>
      <c r="C6" s="102"/>
    </row>
    <row r="7" spans="1:3" s="88" customFormat="1" x14ac:dyDescent="0.25">
      <c r="A7" s="99" t="s">
        <v>116</v>
      </c>
      <c r="B7" s="89" t="str">
        <f>'Base de Dados FORMS'!R1</f>
        <v>9) Meu trabalho tem um sentido especial. Para mim, não é só “mais um emprego”.</v>
      </c>
      <c r="C7" s="102"/>
    </row>
    <row r="8" spans="1:3" s="88" customFormat="1" x14ac:dyDescent="0.25">
      <c r="A8" s="99" t="s">
        <v>116</v>
      </c>
      <c r="B8" s="89" t="str">
        <f>'Base de Dados FORMS'!V1</f>
        <v>11) Tenho orgulho de contar com as pessoas que trabalho aqui.</v>
      </c>
      <c r="C8" s="102"/>
    </row>
    <row r="9" spans="1:3" s="92" customFormat="1" x14ac:dyDescent="0.25">
      <c r="A9" s="100" t="s">
        <v>116</v>
      </c>
      <c r="B9" s="93" t="str">
        <f>'Base de Dados FORMS'!X1</f>
        <v>12) As pessoas aqui têm vontade de vir para o trabalho.</v>
      </c>
      <c r="C9" s="106" t="s">
        <v>1488</v>
      </c>
    </row>
    <row r="10" spans="1:3" s="92" customFormat="1" x14ac:dyDescent="0.25">
      <c r="A10" s="100" t="s">
        <v>118</v>
      </c>
      <c r="B10" s="93" t="s">
        <v>91</v>
      </c>
      <c r="C10" s="107"/>
    </row>
    <row r="11" spans="1:3" s="88" customFormat="1" x14ac:dyDescent="0.25">
      <c r="A11" s="99" t="s">
        <v>118</v>
      </c>
      <c r="B11" s="89" t="str">
        <f>'Base de Dados FORMS'!AB1</f>
        <v>14) Existem canais de comunicação bem definidos para que os colaboradores possam expressar suas sugestões e reivindicações.</v>
      </c>
      <c r="C11" s="102"/>
    </row>
    <row r="12" spans="1:3" s="88" customFormat="1" x14ac:dyDescent="0.25">
      <c r="A12" s="99" t="s">
        <v>118</v>
      </c>
      <c r="B12" s="89" t="str">
        <f>'Base de Dados FORMS'!AZ1</f>
        <v>26) O seu líder lhe mantém informado sobre assuntos importantes e sobre mudanças na empresa.</v>
      </c>
      <c r="C12" s="102"/>
    </row>
    <row r="13" spans="1:3" s="88" customFormat="1" ht="15.6" customHeight="1" x14ac:dyDescent="0.25">
      <c r="A13" s="99" t="s">
        <v>118</v>
      </c>
      <c r="B13" s="94" t="str">
        <f>'Base de Dados FORMS'!CD1</f>
        <v>41) A Diretoria da empresa é aberta a sugestões e é fácil falar com ela.</v>
      </c>
      <c r="C13" s="104" t="s">
        <v>1484</v>
      </c>
    </row>
    <row r="14" spans="1:3" s="98" customFormat="1" x14ac:dyDescent="0.25">
      <c r="A14" s="99" t="s">
        <v>121</v>
      </c>
      <c r="B14" s="94" t="s">
        <v>83</v>
      </c>
      <c r="C14" s="105"/>
    </row>
    <row r="15" spans="1:3" s="88" customFormat="1" x14ac:dyDescent="0.25">
      <c r="A15" s="99" t="s">
        <v>121</v>
      </c>
      <c r="B15" s="89" t="str">
        <f>'Base de Dados FORMS'!J1</f>
        <v>5) A empresa oferece treinamentos ou oportunidades de desenvolvimento para o meu crescimento profissional.</v>
      </c>
      <c r="C15" s="102"/>
    </row>
    <row r="16" spans="1:3" s="88" customFormat="1" x14ac:dyDescent="0.25">
      <c r="A16" s="99" t="s">
        <v>121</v>
      </c>
      <c r="B16" s="89" t="str">
        <f>'Base de Dados FORMS'!L1</f>
        <v>6) Você tem uma visão clara de para onde estamos indo (futuro da empresa) e como fazer para chegar lá.</v>
      </c>
      <c r="C16" s="102"/>
    </row>
    <row r="17" spans="1:3" s="88" customFormat="1" x14ac:dyDescent="0.25">
      <c r="A17" s="99" t="s">
        <v>121</v>
      </c>
      <c r="B17" s="89" t="str">
        <f>'Base de Dados FORMS'!N1</f>
        <v>7) A empresa demonstra reconhecimento pelo bom trabalho e pelo esforço extra.</v>
      </c>
      <c r="C17" s="102"/>
    </row>
    <row r="18" spans="1:3" s="88" customFormat="1" x14ac:dyDescent="0.25">
      <c r="A18" s="99" t="s">
        <v>121</v>
      </c>
      <c r="B18" s="89" t="str">
        <f>'Base de Dados FORMS'!P1</f>
        <v>8) As pessoas aqui nesta empresa são remuneradas adequadamente em relação a outras empresas do mesmo segmento de mercado.</v>
      </c>
      <c r="C18" s="102"/>
    </row>
    <row r="19" spans="1:3" s="88" customFormat="1" x14ac:dyDescent="0.25">
      <c r="A19" s="99" t="s">
        <v>121</v>
      </c>
      <c r="B19" s="89" t="str">
        <f>'Base de Dados FORMS'!T1</f>
        <v>10) Quando é contratado um funcionário novo, as pessoas fazem com que ele se sinta bem-vindo.</v>
      </c>
      <c r="C19" s="102"/>
    </row>
    <row r="20" spans="1:3" s="88" customFormat="1" x14ac:dyDescent="0.25">
      <c r="A20" s="99" t="s">
        <v>121</v>
      </c>
      <c r="B20" s="89" t="str">
        <f>'Base de Dados FORMS'!Z1</f>
        <v>13) Eu me sinto à vontade na empresa, sem precisar fingir que sou outra pessoa.</v>
      </c>
      <c r="C20" s="102"/>
    </row>
    <row r="21" spans="1:3" s="88" customFormat="1" x14ac:dyDescent="0.25">
      <c r="A21" s="99" t="s">
        <v>121</v>
      </c>
      <c r="B21" s="89" t="str">
        <f>'Base de Dados FORMS'!AD1</f>
        <v>15) Você acredita que a empresa só promoveria uma demissão em massa como último recurso.</v>
      </c>
      <c r="C21" s="102"/>
    </row>
    <row r="22" spans="1:3" s="88" customFormat="1" x14ac:dyDescent="0.25">
      <c r="A22" s="99" t="s">
        <v>121</v>
      </c>
      <c r="B22" s="89" t="str">
        <f>'Base de Dados FORMS'!AF1</f>
        <v>16) As pessoas são encorajadas a equilibrar sua vida profissional e pessoal.</v>
      </c>
      <c r="C22" s="102"/>
    </row>
    <row r="23" spans="1:3" s="88" customFormat="1" ht="14.4" customHeight="1" x14ac:dyDescent="0.25">
      <c r="A23" s="99" t="s">
        <v>121</v>
      </c>
      <c r="B23" s="96" t="str">
        <f>'Base de Dados FORMS'!BR1</f>
        <v>35) As pessoas aqui na empresa são bem tratadas independentemente da sua idade, cor, religião ou sexo.</v>
      </c>
      <c r="C23" s="104" t="s">
        <v>1485</v>
      </c>
    </row>
    <row r="24" spans="1:3" s="88" customFormat="1" x14ac:dyDescent="0.25">
      <c r="A24" s="99" t="s">
        <v>121</v>
      </c>
      <c r="B24" s="96" t="s">
        <v>85</v>
      </c>
      <c r="C24" s="105"/>
    </row>
    <row r="25" spans="1:3" s="88" customFormat="1" x14ac:dyDescent="0.25">
      <c r="A25" s="99" t="s">
        <v>121</v>
      </c>
      <c r="B25" s="89" t="str">
        <f>'Base de Dados FORMS'!BT1</f>
        <v>36) Você alguma vez já foi humilhado pelo seu líder ou presenciou alguma humilhação.</v>
      </c>
      <c r="C25" s="102"/>
    </row>
    <row r="26" spans="1:3" s="88" customFormat="1" x14ac:dyDescent="0.25">
      <c r="A26" s="99" t="s">
        <v>121</v>
      </c>
      <c r="B26" s="89" t="str">
        <f>'Base de Dados FORMS'!BZ1</f>
        <v>39) Nós sempre comemoramos as metas atingidas e os eventos especiais.</v>
      </c>
      <c r="C26" s="102"/>
    </row>
    <row r="27" spans="1:3" s="88" customFormat="1" x14ac:dyDescent="0.25">
      <c r="A27" s="99" t="s">
        <v>121</v>
      </c>
      <c r="B27" s="89" t="str">
        <f>'Base de Dados FORMS'!CJ1</f>
        <v>44) Sinto que sou valorizado aqui e que posso fazer a diferença.</v>
      </c>
      <c r="C27" s="102"/>
    </row>
    <row r="28" spans="1:3" s="88" customFormat="1" x14ac:dyDescent="0.25">
      <c r="A28" s="99" t="s">
        <v>121</v>
      </c>
      <c r="B28" s="89" t="str">
        <f>'Base de Dados FORMS'!CP1</f>
        <v>47) Percebo um clima de rivalidade (competição interna) aqui.</v>
      </c>
      <c r="C28" s="102"/>
    </row>
    <row r="29" spans="1:3" s="88" customFormat="1" x14ac:dyDescent="0.25">
      <c r="A29" s="99" t="s">
        <v>121</v>
      </c>
      <c r="B29" s="89" t="str">
        <f>'Base de Dados FORMS'!CR1</f>
        <v>48) Pretendo trabalhar aqui ainda por muito tempo.</v>
      </c>
      <c r="C29" s="102"/>
    </row>
    <row r="30" spans="1:3" s="88" customFormat="1" x14ac:dyDescent="0.25">
      <c r="A30" s="99" t="s">
        <v>121</v>
      </c>
      <c r="B30" s="89" t="str">
        <f>'Base de Dados FORMS'!CT1</f>
        <v>49) Existe um bom relacionamento entre as áreas da empresa (equipes das diferentes expertises de conhecimento).</v>
      </c>
      <c r="C30" s="102"/>
    </row>
    <row r="31" spans="1:3" s="88" customFormat="1" x14ac:dyDescent="0.25">
      <c r="A31" s="99" t="s">
        <v>121</v>
      </c>
      <c r="B31" s="89" t="str">
        <f>'Base de Dados FORMS'!CV1</f>
        <v>50) Levando-se tudo em conta, eu diria que este é um excelente lugar para trabalhar.</v>
      </c>
      <c r="C31" s="102"/>
    </row>
    <row r="32" spans="1:3" s="88" customFormat="1" x14ac:dyDescent="0.25">
      <c r="A32" s="99" t="s">
        <v>119</v>
      </c>
      <c r="B32" s="89" t="str">
        <f>'Base de Dados FORMS'!AH1</f>
        <v>17) Você sabe com clareza quem é seu líder (superior imediato).</v>
      </c>
      <c r="C32" s="102"/>
    </row>
    <row r="33" spans="1:3" s="88" customFormat="1" x14ac:dyDescent="0.25">
      <c r="A33" s="99" t="s">
        <v>119</v>
      </c>
      <c r="B33" s="89" t="str">
        <f>'Base de Dados FORMS'!AJ1</f>
        <v>18) O seu líder (superior imediato) deixa claro o que ele espera do seu trabalho.</v>
      </c>
      <c r="C33" s="102"/>
    </row>
    <row r="34" spans="1:3" s="88" customFormat="1" ht="14.4" customHeight="1" x14ac:dyDescent="0.25">
      <c r="A34" s="99" t="s">
        <v>119</v>
      </c>
      <c r="B34" s="97" t="str">
        <f>'Base de Dados FORMS'!AL1</f>
        <v>19) O seu líder demonstra comprometimento com o negócio da empresa (interesse no crescimento da empresa).</v>
      </c>
      <c r="C34" s="104" t="s">
        <v>1486</v>
      </c>
    </row>
    <row r="35" spans="1:3" s="88" customFormat="1" x14ac:dyDescent="0.25">
      <c r="A35" s="99" t="s">
        <v>119</v>
      </c>
      <c r="B35" s="97" t="str">
        <f>'Base de Dados FORMS'!AN1</f>
        <v>20) O seu líder é honesto e ético na condução dos negócios.</v>
      </c>
      <c r="C35" s="105"/>
    </row>
    <row r="36" spans="1:3" s="88" customFormat="1" x14ac:dyDescent="0.25">
      <c r="A36" s="99" t="s">
        <v>119</v>
      </c>
      <c r="B36" s="89" t="str">
        <f>'Base de Dados FORMS'!AP1</f>
        <v>21) O seu líder demonstra interesse sincero por você como pessoa e não somente como empregado.</v>
      </c>
      <c r="C36" s="102"/>
    </row>
    <row r="37" spans="1:3" s="88" customFormat="1" x14ac:dyDescent="0.25">
      <c r="A37" s="99" t="s">
        <v>119</v>
      </c>
      <c r="B37" s="89" t="str">
        <f>'Base de Dados FORMS'!AR1</f>
        <v>22) É fácil se aproximar do seu líder e é também fácil de falar com ele.</v>
      </c>
      <c r="C37" s="102"/>
    </row>
    <row r="38" spans="1:3" s="88" customFormat="1" x14ac:dyDescent="0.25">
      <c r="A38" s="99" t="s">
        <v>119</v>
      </c>
      <c r="B38" s="89" t="str">
        <f>'Base de Dados FORMS'!AT1</f>
        <v>23) O seu líder treina as pessoas com o foco nas suas necessidades.</v>
      </c>
      <c r="C38" s="102"/>
    </row>
    <row r="39" spans="1:3" s="88" customFormat="1" x14ac:dyDescent="0.25">
      <c r="A39" s="99" t="s">
        <v>119</v>
      </c>
      <c r="B39" s="89" t="str">
        <f>'Base de Dados FORMS'!AV1</f>
        <v>24) O seu líder reconhece os erros como oportunidades de aprendizado.</v>
      </c>
      <c r="C39" s="102"/>
    </row>
    <row r="40" spans="1:3" s="88" customFormat="1" x14ac:dyDescent="0.25">
      <c r="A40" s="99" t="s">
        <v>119</v>
      </c>
      <c r="B40" s="89" t="str">
        <f>'Base de Dados FORMS'!AX1</f>
        <v>25) O seu líder demonstra interesse nas ideias e sugestões que você e seus companheiros apresentam e toma ações com base nelas.</v>
      </c>
      <c r="C40" s="102"/>
    </row>
    <row r="41" spans="1:3" s="88" customFormat="1" x14ac:dyDescent="0.25">
      <c r="A41" s="99" t="s">
        <v>119</v>
      </c>
      <c r="B41" s="89" t="str">
        <f>'Base de Dados FORMS'!BB1</f>
        <v>27) O seu líder tem uma visão clara de para onde estamos indo (futuro da empresa) e o que fazer para chegar lá.</v>
      </c>
      <c r="C41" s="102"/>
    </row>
    <row r="42" spans="1:3" s="88" customFormat="1" ht="14.4" customHeight="1" x14ac:dyDescent="0.25">
      <c r="A42" s="99" t="s">
        <v>119</v>
      </c>
      <c r="B42" s="95" t="str">
        <f>'Base de Dados FORMS'!BD1</f>
        <v>28) O seu líder confia no bom trabalho das pessoas sem precisar vigiá-las.</v>
      </c>
      <c r="C42" s="104" t="s">
        <v>1487</v>
      </c>
    </row>
    <row r="43" spans="1:3" s="88" customFormat="1" x14ac:dyDescent="0.25">
      <c r="A43" s="99" t="s">
        <v>119</v>
      </c>
      <c r="B43" s="95" t="s">
        <v>63</v>
      </c>
      <c r="C43" s="105"/>
    </row>
    <row r="44" spans="1:3" s="88" customFormat="1" x14ac:dyDescent="0.25">
      <c r="A44" s="99" t="s">
        <v>119</v>
      </c>
      <c r="B44" s="89" t="str">
        <f>'Base de Dados FORMS'!BF1</f>
        <v>29) O seu líder envolve as pessoas em decisões que afetam atividades e seu ambiente de trabalho.</v>
      </c>
      <c r="C44" s="102"/>
    </row>
    <row r="45" spans="1:3" s="88" customFormat="1" x14ac:dyDescent="0.25">
      <c r="A45" s="99" t="s">
        <v>119</v>
      </c>
      <c r="B45" s="89" t="str">
        <f>'Base de Dados FORMS'!BH1</f>
        <v>30) O seu líder trata todos da mesma forma, sem proteger ninguém.</v>
      </c>
      <c r="C45" s="102"/>
    </row>
    <row r="46" spans="1:3" s="88" customFormat="1" x14ac:dyDescent="0.25">
      <c r="A46" s="99" t="s">
        <v>119</v>
      </c>
      <c r="B46" s="89" t="str">
        <f>'Base de Dados FORMS'!BJ1</f>
        <v>31) O seu líder sabe coordenar pessoas e distribuir tarefas adequadamente.</v>
      </c>
      <c r="C46" s="102"/>
    </row>
    <row r="47" spans="1:3" s="88" customFormat="1" x14ac:dyDescent="0.25">
      <c r="A47" s="99" t="s">
        <v>119</v>
      </c>
      <c r="B47" s="89" t="str">
        <f>'Base de Dados FORMS'!BN1</f>
        <v>33) O seu líder age de acordo com o que fala.</v>
      </c>
      <c r="C47" s="102"/>
    </row>
    <row r="48" spans="1:3" s="88" customFormat="1" x14ac:dyDescent="0.25">
      <c r="A48" s="99" t="s">
        <v>119</v>
      </c>
      <c r="B48" s="89" t="str">
        <f>'Base de Dados FORMS'!BP1</f>
        <v>34) O seu líder dá feedback (crítica construtiva) sobre o desempenho de seu trabalho.</v>
      </c>
      <c r="C48" s="102"/>
    </row>
    <row r="49" spans="1:3" s="88" customFormat="1" ht="12" customHeight="1" x14ac:dyDescent="0.25">
      <c r="A49" s="99" t="s">
        <v>117</v>
      </c>
      <c r="B49" s="89" t="str">
        <f>'Base de Dados FORMS'!H1</f>
        <v>4) Pode-se contar com a colaboração das pessoas por aqui.</v>
      </c>
      <c r="C49" s="102"/>
    </row>
    <row r="50" spans="1:3" s="88" customFormat="1" x14ac:dyDescent="0.25">
      <c r="A50" s="99" t="s">
        <v>117</v>
      </c>
      <c r="B50" s="89" t="str">
        <f>'Base de Dados FORMS'!BV1</f>
        <v>37) Aqui as pessoas se importam umas com as outras.</v>
      </c>
      <c r="C50" s="102"/>
    </row>
    <row r="51" spans="1:3" s="88" customFormat="1" x14ac:dyDescent="0.25">
      <c r="A51" s="99" t="s">
        <v>117</v>
      </c>
      <c r="B51" s="89" t="str">
        <f>'Base de Dados FORMS'!BX1</f>
        <v>38) Existe um sentimento de equipe por aqui.</v>
      </c>
      <c r="C51" s="102"/>
    </row>
    <row r="52" spans="1:3" s="88" customFormat="1" x14ac:dyDescent="0.25">
      <c r="A52" s="99" t="s">
        <v>117</v>
      </c>
      <c r="B52" s="89" t="str">
        <f>'Base de Dados FORMS'!CB1</f>
        <v>40) As pessoas fazem “politicagem” (puxa saco) como forma de obter resultados.</v>
      </c>
      <c r="C52" s="102"/>
    </row>
    <row r="53" spans="1:3" s="88" customFormat="1" x14ac:dyDescent="0.25">
      <c r="A53" s="90" t="s">
        <v>123</v>
      </c>
      <c r="B53" s="90" t="s">
        <v>122</v>
      </c>
      <c r="C53" s="102"/>
    </row>
  </sheetData>
  <autoFilter ref="A2:L2" xr:uid="{9316FA1A-E44D-4616-B2E3-79EB62F709F1}"/>
  <mergeCells count="6">
    <mergeCell ref="C42:C43"/>
    <mergeCell ref="C9:C10"/>
    <mergeCell ref="C3:C4"/>
    <mergeCell ref="C13:C14"/>
    <mergeCell ref="C23:C24"/>
    <mergeCell ref="C34:C35"/>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Base de Dados FORMS</vt:lpstr>
      <vt:lpstr>BD Quanti </vt:lpstr>
      <vt:lpstr>Ranking</vt:lpstr>
      <vt:lpstr>Pilares</vt:lpstr>
      <vt:lpstr>REVISÃO PERGUNTAS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dc:creator>
  <cp:lastModifiedBy>Admin</cp:lastModifiedBy>
  <dcterms:created xsi:type="dcterms:W3CDTF">2021-08-29T12:45:52Z</dcterms:created>
  <dcterms:modified xsi:type="dcterms:W3CDTF">2026-04-22T11:39:42Z</dcterms:modified>
</cp:coreProperties>
</file>